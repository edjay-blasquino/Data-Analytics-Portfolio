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https://d.docs.live.net/f88c4de953adc3b8/Excel Projects/"/>
    </mc:Choice>
  </mc:AlternateContent>
  <xr:revisionPtr revIDLastSave="18" documentId="8_{5BB03F85-5874-487A-9290-7428A0C602D8}" xr6:coauthVersionLast="47" xr6:coauthVersionMax="47" xr10:uidLastSave="{3BF676FD-6B30-4C9F-BB35-07F8260FF70A}"/>
  <bookViews>
    <workbookView xWindow="-110" yWindow="-110" windowWidth="19420" windowHeight="10300" tabRatio="793" activeTab="5" xr2:uid="{E5094861-3FA6-42AA-8ED0-E4CB1486AB80}"/>
  </bookViews>
  <sheets>
    <sheet name="Raw_Data" sheetId="2" r:id="rId1"/>
    <sheet name="Lookup_Tables" sheetId="3" r:id="rId2"/>
    <sheet name="Analysis" sheetId="6" r:id="rId3"/>
    <sheet name="Dashboard" sheetId="7" r:id="rId4"/>
    <sheet name="README" sheetId="4" r:id="rId5"/>
    <sheet name="Report" sheetId="8" r:id="rId6"/>
  </sheets>
  <definedNames>
    <definedName name="Customers">Lookup_Tables!$I$5:$I$34</definedName>
    <definedName name="DiscountRates">"tblDiscountRates[Discount%]"</definedName>
    <definedName name="NativeTimeline_Date">#N/A</definedName>
    <definedName name="PaymentMethods">Lookup_Tables!$C$24:$C$27</definedName>
    <definedName name="Products">Lookup_Tables!$F$5:$F$23</definedName>
    <definedName name="Salespersons">Lookup_Tables!$B$5:$B$16</definedName>
    <definedName name="Slicer_Customer_Type">#N/A</definedName>
    <definedName name="Slicer_Product_Category">#N/A</definedName>
    <definedName name="Slicer_Region">#N/A</definedName>
    <definedName name="Slicer_Saleperson">#N/A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2" i="2" l="1"/>
  <c r="O2" i="2"/>
  <c r="E2" i="2"/>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G2" i="2"/>
  <c r="L2" i="2" s="1"/>
  <c r="G3" i="2"/>
  <c r="L3" i="2" s="1"/>
  <c r="G4" i="2"/>
  <c r="L4" i="2" s="1"/>
  <c r="G5" i="2"/>
  <c r="L5" i="2" s="1"/>
  <c r="G6" i="2"/>
  <c r="L6" i="2" s="1"/>
  <c r="G7" i="2"/>
  <c r="L7" i="2" s="1"/>
  <c r="G8" i="2"/>
  <c r="L8" i="2" s="1"/>
  <c r="G9" i="2"/>
  <c r="L9" i="2" s="1"/>
  <c r="G10" i="2"/>
  <c r="L10" i="2" s="1"/>
  <c r="G11" i="2"/>
  <c r="L11" i="2" s="1"/>
  <c r="G12" i="2"/>
  <c r="L12" i="2" s="1"/>
  <c r="G13" i="2"/>
  <c r="L13" i="2" s="1"/>
  <c r="G14" i="2"/>
  <c r="L14" i="2" s="1"/>
  <c r="G15" i="2"/>
  <c r="L15" i="2" s="1"/>
  <c r="G16" i="2"/>
  <c r="L16" i="2" s="1"/>
  <c r="G17" i="2"/>
  <c r="L17" i="2" s="1"/>
  <c r="G18" i="2"/>
  <c r="L18" i="2" s="1"/>
  <c r="G19" i="2"/>
  <c r="L19" i="2" s="1"/>
  <c r="G20" i="2"/>
  <c r="L20" i="2" s="1"/>
  <c r="G21" i="2"/>
  <c r="L21" i="2" s="1"/>
  <c r="G22" i="2"/>
  <c r="L22" i="2" s="1"/>
  <c r="G23" i="2"/>
  <c r="L23" i="2" s="1"/>
  <c r="G24" i="2"/>
  <c r="L24" i="2" s="1"/>
  <c r="G25" i="2"/>
  <c r="L25" i="2" s="1"/>
  <c r="G26" i="2"/>
  <c r="L26" i="2" s="1"/>
  <c r="G27" i="2"/>
  <c r="L27" i="2" s="1"/>
  <c r="G28" i="2"/>
  <c r="L28" i="2" s="1"/>
  <c r="G29" i="2"/>
  <c r="L29" i="2" s="1"/>
  <c r="G30" i="2"/>
  <c r="L30" i="2" s="1"/>
  <c r="G31" i="2"/>
  <c r="L31" i="2" s="1"/>
  <c r="G32" i="2"/>
  <c r="L32" i="2" s="1"/>
  <c r="G33" i="2"/>
  <c r="L33" i="2" s="1"/>
  <c r="G34" i="2"/>
  <c r="L34" i="2" s="1"/>
  <c r="G35" i="2"/>
  <c r="L35" i="2" s="1"/>
  <c r="G36" i="2"/>
  <c r="L36" i="2" s="1"/>
  <c r="G37" i="2"/>
  <c r="L37" i="2" s="1"/>
  <c r="G38" i="2"/>
  <c r="L38" i="2" s="1"/>
  <c r="G39" i="2"/>
  <c r="L39" i="2" s="1"/>
  <c r="G40" i="2"/>
  <c r="L40" i="2" s="1"/>
  <c r="G41" i="2"/>
  <c r="L41" i="2" s="1"/>
  <c r="G42" i="2"/>
  <c r="L42" i="2" s="1"/>
  <c r="G43" i="2"/>
  <c r="L43" i="2" s="1"/>
  <c r="G44" i="2"/>
  <c r="L44" i="2" s="1"/>
  <c r="G45" i="2"/>
  <c r="L45" i="2" s="1"/>
  <c r="G46" i="2"/>
  <c r="L46" i="2" s="1"/>
  <c r="G47" i="2"/>
  <c r="L47" i="2" s="1"/>
  <c r="G48" i="2"/>
  <c r="L48" i="2" s="1"/>
  <c r="G49" i="2"/>
  <c r="L49" i="2" s="1"/>
  <c r="G50" i="2"/>
  <c r="L50" i="2" s="1"/>
  <c r="G51" i="2"/>
  <c r="L51" i="2" s="1"/>
  <c r="G52" i="2"/>
  <c r="L52" i="2" s="1"/>
  <c r="G53" i="2"/>
  <c r="L53" i="2" s="1"/>
  <c r="G54" i="2"/>
  <c r="L54" i="2" s="1"/>
  <c r="G55" i="2"/>
  <c r="L55" i="2" s="1"/>
  <c r="G56" i="2"/>
  <c r="L56" i="2" s="1"/>
  <c r="G57" i="2"/>
  <c r="L57" i="2" s="1"/>
  <c r="G58" i="2"/>
  <c r="L58" i="2" s="1"/>
  <c r="G59" i="2"/>
  <c r="L59" i="2" s="1"/>
  <c r="G60" i="2"/>
  <c r="L60" i="2" s="1"/>
  <c r="G61" i="2"/>
  <c r="L61" i="2" s="1"/>
  <c r="G62" i="2"/>
  <c r="L62" i="2" s="1"/>
  <c r="G63" i="2"/>
  <c r="L63" i="2" s="1"/>
  <c r="G64" i="2"/>
  <c r="L64" i="2" s="1"/>
  <c r="G65" i="2"/>
  <c r="L65" i="2" s="1"/>
  <c r="G66" i="2"/>
  <c r="L66" i="2" s="1"/>
  <c r="G67" i="2"/>
  <c r="L67" i="2" s="1"/>
  <c r="G68" i="2"/>
  <c r="L68" i="2" s="1"/>
  <c r="G69" i="2"/>
  <c r="L69" i="2" s="1"/>
  <c r="G70" i="2"/>
  <c r="L70" i="2" s="1"/>
  <c r="G71" i="2"/>
  <c r="L71" i="2" s="1"/>
  <c r="G72" i="2"/>
  <c r="L72" i="2" s="1"/>
  <c r="G73" i="2"/>
  <c r="L73" i="2" s="1"/>
  <c r="G74" i="2"/>
  <c r="L74" i="2" s="1"/>
  <c r="G75" i="2"/>
  <c r="L75" i="2" s="1"/>
  <c r="G76" i="2"/>
  <c r="L76" i="2" s="1"/>
  <c r="G77" i="2"/>
  <c r="L77" i="2" s="1"/>
  <c r="G78" i="2"/>
  <c r="L78" i="2" s="1"/>
  <c r="G79" i="2"/>
  <c r="L79" i="2" s="1"/>
  <c r="G80" i="2"/>
  <c r="L80" i="2" s="1"/>
  <c r="G81" i="2"/>
  <c r="L81" i="2" s="1"/>
  <c r="G82" i="2"/>
  <c r="L82" i="2" s="1"/>
  <c r="G83" i="2"/>
  <c r="L83" i="2" s="1"/>
  <c r="G84" i="2"/>
  <c r="L84" i="2" s="1"/>
  <c r="G85" i="2"/>
  <c r="L85" i="2" s="1"/>
  <c r="G86" i="2"/>
  <c r="L86" i="2" s="1"/>
  <c r="G87" i="2"/>
  <c r="L87" i="2" s="1"/>
  <c r="G88" i="2"/>
  <c r="L88" i="2" s="1"/>
  <c r="G89" i="2"/>
  <c r="L89" i="2" s="1"/>
  <c r="G90" i="2"/>
  <c r="L90" i="2" s="1"/>
  <c r="G91" i="2"/>
  <c r="L91" i="2" s="1"/>
  <c r="G92" i="2"/>
  <c r="L92" i="2" s="1"/>
  <c r="G93" i="2"/>
  <c r="L93" i="2" s="1"/>
  <c r="G94" i="2"/>
  <c r="L94" i="2" s="1"/>
  <c r="G95" i="2"/>
  <c r="L95" i="2" s="1"/>
  <c r="G96" i="2"/>
  <c r="L96" i="2" s="1"/>
  <c r="G97" i="2"/>
  <c r="L97" i="2" s="1"/>
  <c r="G98" i="2"/>
  <c r="L98" i="2" s="1"/>
  <c r="G99" i="2"/>
  <c r="L99" i="2" s="1"/>
  <c r="G100" i="2"/>
  <c r="L100" i="2" s="1"/>
  <c r="G101" i="2"/>
  <c r="L101" i="2" s="1"/>
  <c r="G102" i="2"/>
  <c r="L102" i="2" s="1"/>
  <c r="G103" i="2"/>
  <c r="L103" i="2" s="1"/>
  <c r="G104" i="2"/>
  <c r="L104" i="2" s="1"/>
  <c r="G105" i="2"/>
  <c r="L105" i="2" s="1"/>
  <c r="G106" i="2"/>
  <c r="L106" i="2" s="1"/>
  <c r="G107" i="2"/>
  <c r="L107" i="2" s="1"/>
  <c r="G108" i="2"/>
  <c r="L108" i="2" s="1"/>
  <c r="G109" i="2"/>
  <c r="L109" i="2" s="1"/>
  <c r="G110" i="2"/>
  <c r="L110" i="2" s="1"/>
  <c r="G111" i="2"/>
  <c r="L111" i="2" s="1"/>
  <c r="G112" i="2"/>
  <c r="L112" i="2" s="1"/>
  <c r="G113" i="2"/>
  <c r="L113" i="2" s="1"/>
  <c r="G114" i="2"/>
  <c r="L114" i="2" s="1"/>
  <c r="G115" i="2"/>
  <c r="L115" i="2" s="1"/>
  <c r="G116" i="2"/>
  <c r="L116" i="2" s="1"/>
  <c r="G117" i="2"/>
  <c r="L117" i="2" s="1"/>
  <c r="G118" i="2"/>
  <c r="L118" i="2" s="1"/>
  <c r="G119" i="2"/>
  <c r="L119" i="2" s="1"/>
  <c r="G120" i="2"/>
  <c r="L120" i="2" s="1"/>
  <c r="G121" i="2"/>
  <c r="L121" i="2" s="1"/>
  <c r="G122" i="2"/>
  <c r="L122" i="2" s="1"/>
  <c r="G123" i="2"/>
  <c r="L123" i="2" s="1"/>
  <c r="G124" i="2"/>
  <c r="L124" i="2" s="1"/>
  <c r="G125" i="2"/>
  <c r="L125" i="2" s="1"/>
  <c r="G126" i="2"/>
  <c r="L126" i="2" s="1"/>
  <c r="G127" i="2"/>
  <c r="L127" i="2" s="1"/>
  <c r="G128" i="2"/>
  <c r="L128" i="2" s="1"/>
  <c r="G129" i="2"/>
  <c r="L129" i="2" s="1"/>
  <c r="G130" i="2"/>
  <c r="L130" i="2" s="1"/>
  <c r="G131" i="2"/>
  <c r="L131" i="2" s="1"/>
  <c r="G132" i="2"/>
  <c r="L132" i="2" s="1"/>
  <c r="G133" i="2"/>
  <c r="L133" i="2" s="1"/>
  <c r="G134" i="2"/>
  <c r="L134" i="2" s="1"/>
  <c r="G135" i="2"/>
  <c r="L135" i="2" s="1"/>
  <c r="G136" i="2"/>
  <c r="L136" i="2" s="1"/>
  <c r="G137" i="2"/>
  <c r="L137" i="2" s="1"/>
  <c r="G138" i="2"/>
  <c r="L138" i="2" s="1"/>
  <c r="G139" i="2"/>
  <c r="L139" i="2" s="1"/>
  <c r="G140" i="2"/>
  <c r="L140" i="2" s="1"/>
  <c r="G141" i="2"/>
  <c r="L141" i="2" s="1"/>
  <c r="G142" i="2"/>
  <c r="L142" i="2" s="1"/>
  <c r="G143" i="2"/>
  <c r="L143" i="2" s="1"/>
  <c r="G144" i="2"/>
  <c r="L144" i="2" s="1"/>
  <c r="G145" i="2"/>
  <c r="L145" i="2" s="1"/>
  <c r="G146" i="2"/>
  <c r="L146" i="2" s="1"/>
  <c r="G147" i="2"/>
  <c r="L147" i="2" s="1"/>
  <c r="G148" i="2"/>
  <c r="L148" i="2" s="1"/>
  <c r="G149" i="2"/>
  <c r="L149" i="2" s="1"/>
  <c r="G150" i="2"/>
  <c r="L150" i="2" s="1"/>
  <c r="G151" i="2"/>
  <c r="L151" i="2" s="1"/>
  <c r="G152" i="2"/>
  <c r="L152" i="2" s="1"/>
  <c r="G153" i="2"/>
  <c r="L153" i="2" s="1"/>
  <c r="G154" i="2"/>
  <c r="L154" i="2" s="1"/>
  <c r="G155" i="2"/>
  <c r="L155" i="2" s="1"/>
  <c r="G156" i="2"/>
  <c r="L156" i="2" s="1"/>
  <c r="G157" i="2"/>
  <c r="L157" i="2" s="1"/>
  <c r="G158" i="2"/>
  <c r="L158" i="2" s="1"/>
  <c r="G159" i="2"/>
  <c r="L159" i="2" s="1"/>
  <c r="G160" i="2"/>
  <c r="L160" i="2" s="1"/>
  <c r="G161" i="2"/>
  <c r="L161" i="2" s="1"/>
  <c r="G162" i="2"/>
  <c r="L162" i="2" s="1"/>
  <c r="G163" i="2"/>
  <c r="L163" i="2" s="1"/>
  <c r="G164" i="2"/>
  <c r="L164" i="2" s="1"/>
  <c r="G165" i="2"/>
  <c r="L165" i="2" s="1"/>
  <c r="G166" i="2"/>
  <c r="L166" i="2" s="1"/>
  <c r="G167" i="2"/>
  <c r="L167" i="2" s="1"/>
  <c r="G168" i="2"/>
  <c r="L168" i="2" s="1"/>
  <c r="G169" i="2"/>
  <c r="L169" i="2" s="1"/>
  <c r="G170" i="2"/>
  <c r="L170" i="2" s="1"/>
  <c r="G171" i="2"/>
  <c r="L171" i="2" s="1"/>
  <c r="G172" i="2"/>
  <c r="L172" i="2" s="1"/>
  <c r="G173" i="2"/>
  <c r="L173" i="2" s="1"/>
  <c r="G174" i="2"/>
  <c r="L174" i="2" s="1"/>
  <c r="G175" i="2"/>
  <c r="L175" i="2" s="1"/>
  <c r="G176" i="2"/>
  <c r="L176" i="2" s="1"/>
  <c r="G177" i="2"/>
  <c r="L177" i="2" s="1"/>
  <c r="G178" i="2"/>
  <c r="L178" i="2" s="1"/>
  <c r="G179" i="2"/>
  <c r="L179" i="2" s="1"/>
  <c r="G180" i="2"/>
  <c r="L180" i="2" s="1"/>
  <c r="G181" i="2"/>
  <c r="L181" i="2" s="1"/>
  <c r="G182" i="2"/>
  <c r="L182" i="2" s="1"/>
  <c r="G183" i="2"/>
  <c r="L183" i="2" s="1"/>
  <c r="G184" i="2"/>
  <c r="L184" i="2" s="1"/>
  <c r="G185" i="2"/>
  <c r="L185" i="2" s="1"/>
  <c r="G186" i="2"/>
  <c r="L186" i="2" s="1"/>
  <c r="G187" i="2"/>
  <c r="L187" i="2" s="1"/>
  <c r="G188" i="2"/>
  <c r="L188" i="2" s="1"/>
  <c r="G189" i="2"/>
  <c r="L189" i="2" s="1"/>
  <c r="G190" i="2"/>
  <c r="L190" i="2" s="1"/>
  <c r="G191" i="2"/>
  <c r="L191" i="2" s="1"/>
  <c r="G192" i="2"/>
  <c r="L192" i="2" s="1"/>
  <c r="G193" i="2"/>
  <c r="L193" i="2" s="1"/>
  <c r="G194" i="2"/>
  <c r="L194" i="2" s="1"/>
  <c r="G195" i="2"/>
  <c r="L195" i="2" s="1"/>
  <c r="G196" i="2"/>
  <c r="L196" i="2" s="1"/>
  <c r="G197" i="2"/>
  <c r="L197" i="2" s="1"/>
  <c r="G198" i="2"/>
  <c r="L198" i="2" s="1"/>
  <c r="G199" i="2"/>
  <c r="L199" i="2" s="1"/>
  <c r="G200" i="2"/>
  <c r="L200" i="2" s="1"/>
  <c r="G201" i="2"/>
  <c r="L201" i="2" s="1"/>
  <c r="G202" i="2"/>
  <c r="L202" i="2" s="1"/>
  <c r="G203" i="2"/>
  <c r="L203" i="2" s="1"/>
  <c r="G204" i="2"/>
  <c r="L204" i="2" s="1"/>
  <c r="G205" i="2"/>
  <c r="L205" i="2" s="1"/>
  <c r="G206" i="2"/>
  <c r="L206" i="2" s="1"/>
  <c r="G207" i="2"/>
  <c r="L207" i="2" s="1"/>
  <c r="G208" i="2"/>
  <c r="L208" i="2" s="1"/>
  <c r="G209" i="2"/>
  <c r="L209" i="2" s="1"/>
  <c r="G210" i="2"/>
  <c r="L210" i="2" s="1"/>
  <c r="G211" i="2"/>
  <c r="L211" i="2" s="1"/>
  <c r="G212" i="2"/>
  <c r="L212" i="2" s="1"/>
  <c r="G213" i="2"/>
  <c r="L213" i="2" s="1"/>
  <c r="G214" i="2"/>
  <c r="L214" i="2" s="1"/>
  <c r="G215" i="2"/>
  <c r="L215" i="2" s="1"/>
  <c r="G216" i="2"/>
  <c r="L216" i="2" s="1"/>
  <c r="G217" i="2"/>
  <c r="L217" i="2" s="1"/>
  <c r="G218" i="2"/>
  <c r="L218" i="2" s="1"/>
  <c r="G219" i="2"/>
  <c r="L219" i="2" s="1"/>
  <c r="G220" i="2"/>
  <c r="L220" i="2" s="1"/>
  <c r="G221" i="2"/>
  <c r="L221" i="2" s="1"/>
  <c r="G222" i="2"/>
  <c r="L222" i="2" s="1"/>
  <c r="G223" i="2"/>
  <c r="L223" i="2" s="1"/>
  <c r="G224" i="2"/>
  <c r="L224" i="2" s="1"/>
  <c r="G225" i="2"/>
  <c r="L225" i="2" s="1"/>
  <c r="G226" i="2"/>
  <c r="L226" i="2" s="1"/>
  <c r="G227" i="2"/>
  <c r="L227" i="2" s="1"/>
  <c r="G228" i="2"/>
  <c r="L228" i="2" s="1"/>
  <c r="G229" i="2"/>
  <c r="L229" i="2" s="1"/>
  <c r="G230" i="2"/>
  <c r="L230" i="2" s="1"/>
  <c r="G231" i="2"/>
  <c r="L231" i="2" s="1"/>
  <c r="G232" i="2"/>
  <c r="L232" i="2" s="1"/>
  <c r="G233" i="2"/>
  <c r="L233" i="2" s="1"/>
  <c r="G234" i="2"/>
  <c r="L234" i="2" s="1"/>
  <c r="G235" i="2"/>
  <c r="L235" i="2" s="1"/>
  <c r="G236" i="2"/>
  <c r="L236" i="2" s="1"/>
  <c r="G237" i="2"/>
  <c r="L237" i="2" s="1"/>
  <c r="G238" i="2"/>
  <c r="L238" i="2" s="1"/>
  <c r="G239" i="2"/>
  <c r="L239" i="2" s="1"/>
  <c r="G240" i="2"/>
  <c r="L240" i="2" s="1"/>
  <c r="G241" i="2"/>
  <c r="L241" i="2" s="1"/>
  <c r="G242" i="2"/>
  <c r="L242" i="2" s="1"/>
  <c r="G243" i="2"/>
  <c r="L243" i="2" s="1"/>
  <c r="G244" i="2"/>
  <c r="L244" i="2" s="1"/>
  <c r="G245" i="2"/>
  <c r="L245" i="2" s="1"/>
  <c r="G246" i="2"/>
  <c r="L246" i="2" s="1"/>
  <c r="G247" i="2"/>
  <c r="L247" i="2" s="1"/>
  <c r="G248" i="2"/>
  <c r="L248" i="2" s="1"/>
  <c r="G249" i="2"/>
  <c r="L249" i="2" s="1"/>
  <c r="G250" i="2"/>
  <c r="L250" i="2" s="1"/>
  <c r="G251" i="2"/>
  <c r="L251" i="2" s="1"/>
  <c r="G252" i="2"/>
  <c r="L252" i="2" s="1"/>
  <c r="G253" i="2"/>
  <c r="L253" i="2" s="1"/>
  <c r="G254" i="2"/>
  <c r="L254" i="2" s="1"/>
  <c r="G255" i="2"/>
  <c r="L255" i="2" s="1"/>
  <c r="G256" i="2"/>
  <c r="L256" i="2" s="1"/>
  <c r="G257" i="2"/>
  <c r="L257" i="2" s="1"/>
  <c r="G258" i="2"/>
  <c r="L258" i="2" s="1"/>
  <c r="G259" i="2"/>
  <c r="L259" i="2" s="1"/>
  <c r="G260" i="2"/>
  <c r="L260" i="2" s="1"/>
  <c r="G261" i="2"/>
  <c r="L261" i="2" s="1"/>
  <c r="G262" i="2"/>
  <c r="L262" i="2" s="1"/>
  <c r="G263" i="2"/>
  <c r="L263" i="2" s="1"/>
  <c r="G264" i="2"/>
  <c r="L264" i="2" s="1"/>
  <c r="G265" i="2"/>
  <c r="L265" i="2" s="1"/>
  <c r="G266" i="2"/>
  <c r="L266" i="2" s="1"/>
  <c r="G267" i="2"/>
  <c r="L267" i="2" s="1"/>
  <c r="G268" i="2"/>
  <c r="L268" i="2" s="1"/>
  <c r="G269" i="2"/>
  <c r="L269" i="2" s="1"/>
  <c r="G270" i="2"/>
  <c r="L270" i="2" s="1"/>
  <c r="G271" i="2"/>
  <c r="L271" i="2" s="1"/>
  <c r="G272" i="2"/>
  <c r="L272" i="2" s="1"/>
  <c r="G273" i="2"/>
  <c r="L273" i="2" s="1"/>
  <c r="G274" i="2"/>
  <c r="L274" i="2" s="1"/>
  <c r="G275" i="2"/>
  <c r="L275" i="2" s="1"/>
  <c r="G276" i="2"/>
  <c r="L276" i="2" s="1"/>
  <c r="G277" i="2"/>
  <c r="L277" i="2" s="1"/>
  <c r="G278" i="2"/>
  <c r="L278" i="2" s="1"/>
  <c r="G279" i="2"/>
  <c r="L279" i="2" s="1"/>
  <c r="G280" i="2"/>
  <c r="L280" i="2" s="1"/>
  <c r="G281" i="2"/>
  <c r="L281" i="2" s="1"/>
  <c r="G282" i="2"/>
  <c r="L282" i="2" s="1"/>
  <c r="G283" i="2"/>
  <c r="L283" i="2" s="1"/>
  <c r="G284" i="2"/>
  <c r="L284" i="2" s="1"/>
  <c r="G285" i="2"/>
  <c r="L285" i="2" s="1"/>
  <c r="G286" i="2"/>
  <c r="L286" i="2" s="1"/>
  <c r="G287" i="2"/>
  <c r="L287" i="2" s="1"/>
  <c r="G288" i="2"/>
  <c r="L288" i="2" s="1"/>
  <c r="G289" i="2"/>
  <c r="L289" i="2" s="1"/>
  <c r="G290" i="2"/>
  <c r="L290" i="2" s="1"/>
  <c r="G291" i="2"/>
  <c r="L291" i="2" s="1"/>
  <c r="G292" i="2"/>
  <c r="L292" i="2" s="1"/>
  <c r="G293" i="2"/>
  <c r="L293" i="2" s="1"/>
  <c r="G294" i="2"/>
  <c r="L294" i="2" s="1"/>
  <c r="G295" i="2"/>
  <c r="L295" i="2" s="1"/>
  <c r="G296" i="2"/>
  <c r="L296" i="2" s="1"/>
  <c r="G297" i="2"/>
  <c r="L297" i="2" s="1"/>
  <c r="G298" i="2"/>
  <c r="L298" i="2" s="1"/>
  <c r="G299" i="2"/>
  <c r="L299" i="2" s="1"/>
  <c r="G300" i="2"/>
  <c r="L300" i="2" s="1"/>
  <c r="G301" i="2"/>
  <c r="L301" i="2" s="1"/>
  <c r="H4" i="2"/>
  <c r="K10" i="2"/>
  <c r="P10" i="2" s="1"/>
  <c r="K12" i="2"/>
  <c r="P12" i="2" s="1"/>
  <c r="Q12" i="2" s="1"/>
  <c r="H13" i="2"/>
  <c r="H14" i="2"/>
  <c r="H17" i="2"/>
  <c r="K18" i="2"/>
  <c r="P18" i="2" s="1"/>
  <c r="H20" i="2"/>
  <c r="H21" i="2"/>
  <c r="H27" i="2"/>
  <c r="H31" i="2"/>
  <c r="H33" i="2"/>
  <c r="K35" i="2"/>
  <c r="P35" i="2" s="1"/>
  <c r="K37" i="2"/>
  <c r="P37" i="2" s="1"/>
  <c r="K39" i="2"/>
  <c r="P39" i="2" s="1"/>
  <c r="H40" i="2"/>
  <c r="K41" i="2"/>
  <c r="P41" i="2" s="1"/>
  <c r="H49" i="2"/>
  <c r="H50" i="2"/>
  <c r="K51" i="2"/>
  <c r="P51" i="2" s="1"/>
  <c r="H53" i="2"/>
  <c r="H55" i="2"/>
  <c r="K58" i="2"/>
  <c r="P58" i="2" s="1"/>
  <c r="H61" i="2"/>
  <c r="K64" i="2"/>
  <c r="P64" i="2" s="1"/>
  <c r="H66" i="2"/>
  <c r="H72" i="2"/>
  <c r="K76" i="2"/>
  <c r="P76" i="2" s="1"/>
  <c r="K82" i="2"/>
  <c r="P82" i="2" s="1"/>
  <c r="H91" i="2"/>
  <c r="K92" i="2"/>
  <c r="P92" i="2" s="1"/>
  <c r="Q92" i="2" s="1"/>
  <c r="H94" i="2"/>
  <c r="H95" i="2"/>
  <c r="K97" i="2"/>
  <c r="P97" i="2" s="1"/>
  <c r="K99" i="2"/>
  <c r="P99" i="2" s="1"/>
  <c r="H100" i="2"/>
  <c r="K101" i="2"/>
  <c r="P101" i="2" s="1"/>
  <c r="K104" i="2"/>
  <c r="P104" i="2" s="1"/>
  <c r="K105" i="2"/>
  <c r="P105" i="2" s="1"/>
  <c r="H108" i="2"/>
  <c r="H114" i="2"/>
  <c r="H115" i="2"/>
  <c r="K116" i="2"/>
  <c r="P116" i="2" s="1"/>
  <c r="Q116" i="2" s="1"/>
  <c r="H117" i="2"/>
  <c r="H119" i="2"/>
  <c r="H125" i="2"/>
  <c r="H130" i="2"/>
  <c r="K136" i="2"/>
  <c r="P136" i="2" s="1"/>
  <c r="K140" i="2"/>
  <c r="P140" i="2" s="1"/>
  <c r="H144" i="2"/>
  <c r="H154" i="2"/>
  <c r="K155" i="2"/>
  <c r="P155" i="2" s="1"/>
  <c r="H156" i="2"/>
  <c r="K157" i="2"/>
  <c r="P157" i="2" s="1"/>
  <c r="K159" i="2"/>
  <c r="P159" i="2" s="1"/>
  <c r="H169" i="2"/>
  <c r="K170" i="2"/>
  <c r="P170" i="2" s="1"/>
  <c r="K171" i="2"/>
  <c r="P171" i="2" s="1"/>
  <c r="H172" i="2"/>
  <c r="K173" i="2"/>
  <c r="P173" i="2" s="1"/>
  <c r="Q173" i="2" s="1"/>
  <c r="K175" i="2"/>
  <c r="P175" i="2" s="1"/>
  <c r="H178" i="2"/>
  <c r="H180" i="2"/>
  <c r="K184" i="2"/>
  <c r="P184" i="2" s="1"/>
  <c r="H185" i="2"/>
  <c r="K187" i="2"/>
  <c r="P187" i="2" s="1"/>
  <c r="Q187" i="2" s="1"/>
  <c r="K188" i="2"/>
  <c r="P188" i="2" s="1"/>
  <c r="Q188" i="2" s="1"/>
  <c r="K189" i="2"/>
  <c r="P189" i="2" s="1"/>
  <c r="K192" i="2"/>
  <c r="P192" i="2" s="1"/>
  <c r="K194" i="2"/>
  <c r="P194" i="2" s="1"/>
  <c r="K196" i="2"/>
  <c r="P196" i="2" s="1"/>
  <c r="Q196" i="2" s="1"/>
  <c r="K200" i="2"/>
  <c r="P200" i="2" s="1"/>
  <c r="H201" i="2"/>
  <c r="K203" i="2"/>
  <c r="P203" i="2" s="1"/>
  <c r="K205" i="2"/>
  <c r="P205" i="2" s="1"/>
  <c r="H206" i="2"/>
  <c r="K210" i="2"/>
  <c r="P210" i="2" s="1"/>
  <c r="H215" i="2"/>
  <c r="H216" i="2"/>
  <c r="K217" i="2"/>
  <c r="P217" i="2" s="1"/>
  <c r="Q217" i="2" s="1"/>
  <c r="H218" i="2"/>
  <c r="K219" i="2"/>
  <c r="P219" i="2" s="1"/>
  <c r="H220" i="2"/>
  <c r="K221" i="2"/>
  <c r="P221" i="2" s="1"/>
  <c r="Q221" i="2" s="1"/>
  <c r="K222" i="2"/>
  <c r="P222" i="2" s="1"/>
  <c r="K224" i="2"/>
  <c r="P224" i="2" s="1"/>
  <c r="K226" i="2"/>
  <c r="P226" i="2" s="1"/>
  <c r="H228" i="2"/>
  <c r="H229" i="2"/>
  <c r="K231" i="2"/>
  <c r="P231" i="2" s="1"/>
  <c r="K233" i="2"/>
  <c r="P233" i="2" s="1"/>
  <c r="H234" i="2"/>
  <c r="K235" i="2"/>
  <c r="P235" i="2" s="1"/>
  <c r="H236" i="2"/>
  <c r="H240" i="2"/>
  <c r="H242" i="2"/>
  <c r="K244" i="2"/>
  <c r="P244" i="2" s="1"/>
  <c r="H245" i="2"/>
  <c r="H247" i="2"/>
  <c r="K251" i="2"/>
  <c r="P251" i="2" s="1"/>
  <c r="K252" i="2"/>
  <c r="P252" i="2" s="1"/>
  <c r="H254" i="2"/>
  <c r="K258" i="2"/>
  <c r="P258" i="2" s="1"/>
  <c r="K260" i="2"/>
  <c r="P260" i="2" s="1"/>
  <c r="H263" i="2"/>
  <c r="K264" i="2"/>
  <c r="P264" i="2" s="1"/>
  <c r="H265" i="2"/>
  <c r="H267" i="2"/>
  <c r="H268" i="2"/>
  <c r="K269" i="2"/>
  <c r="P269" i="2" s="1"/>
  <c r="K270" i="2"/>
  <c r="P270" i="2" s="1"/>
  <c r="H272" i="2"/>
  <c r="H274" i="2"/>
  <c r="H276" i="2"/>
  <c r="H277" i="2"/>
  <c r="H279" i="2"/>
  <c r="H281" i="2"/>
  <c r="K283" i="2"/>
  <c r="P283" i="2" s="1"/>
  <c r="Q283" i="2" s="1"/>
  <c r="H284" i="2"/>
  <c r="K286" i="2"/>
  <c r="P286" i="2" s="1"/>
  <c r="H290" i="2"/>
  <c r="K292" i="2"/>
  <c r="P292" i="2" s="1"/>
  <c r="H295" i="2"/>
  <c r="K296" i="2"/>
  <c r="P296" i="2" s="1"/>
  <c r="H297" i="2"/>
  <c r="H299" i="2"/>
  <c r="H300" i="2"/>
  <c r="C2"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4" i="2"/>
  <c r="A5" i="2"/>
  <c r="A6" i="2"/>
  <c r="A7" i="2"/>
  <c r="A8" i="2"/>
  <c r="A9" i="2"/>
  <c r="A10" i="2"/>
  <c r="A11" i="2"/>
  <c r="A12" i="2"/>
  <c r="A13" i="2"/>
  <c r="A14" i="2"/>
  <c r="A15" i="2"/>
  <c r="A16" i="2"/>
  <c r="A17" i="2"/>
  <c r="A18" i="2"/>
  <c r="A19" i="2"/>
  <c r="A20" i="2"/>
  <c r="A21" i="2"/>
  <c r="A2" i="2"/>
  <c r="A3" i="2"/>
  <c r="Q184" i="2" l="1"/>
  <c r="R184" i="2" s="1"/>
  <c r="Q136" i="2"/>
  <c r="R136" i="2" s="1"/>
  <c r="Q76" i="2"/>
  <c r="Q292" i="2"/>
  <c r="R292" i="2" s="1"/>
  <c r="Q269" i="2"/>
  <c r="R269" i="2" s="1"/>
  <c r="Q264" i="2"/>
  <c r="R264" i="2" s="1"/>
  <c r="Q224" i="2"/>
  <c r="R224" i="2" s="1"/>
  <c r="Q157" i="2"/>
  <c r="R157" i="2" s="1"/>
  <c r="Q104" i="2"/>
  <c r="Q252" i="2"/>
  <c r="R252" i="2" s="1"/>
  <c r="Q244" i="2"/>
  <c r="R244" i="2" s="1"/>
  <c r="Q140" i="2"/>
  <c r="R140" i="2" s="1"/>
  <c r="Q64" i="2"/>
  <c r="R64" i="2" s="1"/>
  <c r="Q200" i="2"/>
  <c r="R200" i="2" s="1"/>
  <c r="Q296" i="2"/>
  <c r="R296" i="2" s="1"/>
  <c r="Q260" i="2"/>
  <c r="R260" i="2" s="1"/>
  <c r="Q35" i="2"/>
  <c r="R35" i="2" s="1"/>
  <c r="Q155" i="2"/>
  <c r="R155" i="2" s="1"/>
  <c r="Q51" i="2"/>
  <c r="R51" i="2" s="1"/>
  <c r="Q175" i="2"/>
  <c r="R175" i="2" s="1"/>
  <c r="Q205" i="2"/>
  <c r="R205" i="2" s="1"/>
  <c r="Q99" i="2"/>
  <c r="R99" i="2" s="1"/>
  <c r="Q39" i="2"/>
  <c r="R39" i="2" s="1"/>
  <c r="Q97" i="2"/>
  <c r="R97" i="2" s="1"/>
  <c r="Q41" i="2"/>
  <c r="R41" i="2" s="1"/>
  <c r="Q101" i="2"/>
  <c r="R101" i="2" s="1"/>
  <c r="R76" i="2"/>
  <c r="Q192" i="2"/>
  <c r="R192" i="2" s="1"/>
  <c r="R188" i="2"/>
  <c r="R116" i="2"/>
  <c r="R104" i="2"/>
  <c r="R12" i="2"/>
  <c r="R196" i="2"/>
  <c r="R92" i="2"/>
  <c r="Q105" i="2"/>
  <c r="R105" i="2" s="1"/>
  <c r="Q233" i="2"/>
  <c r="R233" i="2" s="1"/>
  <c r="Q189" i="2"/>
  <c r="R189" i="2" s="1"/>
  <c r="Q37" i="2"/>
  <c r="R37" i="2" s="1"/>
  <c r="Q258" i="2"/>
  <c r="R258" i="2" s="1"/>
  <c r="Q222" i="2"/>
  <c r="R222" i="2" s="1"/>
  <c r="Q210" i="2"/>
  <c r="R210" i="2" s="1"/>
  <c r="Q194" i="2"/>
  <c r="R194" i="2" s="1"/>
  <c r="Q82" i="2"/>
  <c r="R82" i="2" s="1"/>
  <c r="Q58" i="2"/>
  <c r="R58" i="2" s="1"/>
  <c r="R221" i="2"/>
  <c r="R173" i="2"/>
  <c r="Q286" i="2"/>
  <c r="R286" i="2" s="1"/>
  <c r="Q270" i="2"/>
  <c r="R270" i="2" s="1"/>
  <c r="Q226" i="2"/>
  <c r="R226" i="2" s="1"/>
  <c r="Q170" i="2"/>
  <c r="R170" i="2" s="1"/>
  <c r="Q18" i="2"/>
  <c r="R18" i="2" s="1"/>
  <c r="Q10" i="2"/>
  <c r="R10" i="2" s="1"/>
  <c r="R283" i="2"/>
  <c r="Q251" i="2"/>
  <c r="R251" i="2" s="1"/>
  <c r="Q235" i="2"/>
  <c r="R235" i="2" s="1"/>
  <c r="Q231" i="2"/>
  <c r="R231" i="2" s="1"/>
  <c r="Q219" i="2"/>
  <c r="R219" i="2" s="1"/>
  <c r="Q203" i="2"/>
  <c r="R203" i="2" s="1"/>
  <c r="R187" i="2"/>
  <c r="Q171" i="2"/>
  <c r="R171" i="2" s="1"/>
  <c r="Q159" i="2"/>
  <c r="R159" i="2" s="1"/>
  <c r="R217" i="2"/>
  <c r="O3" i="2"/>
  <c r="N3" i="2"/>
  <c r="N4" i="2"/>
  <c r="C3" i="2"/>
  <c r="H155" i="2"/>
  <c r="H222" i="2"/>
  <c r="K66" i="2"/>
  <c r="P66" i="2" s="1"/>
  <c r="K268" i="2"/>
  <c r="P268" i="2" s="1"/>
  <c r="K265" i="2"/>
  <c r="P265" i="2" s="1"/>
  <c r="H140" i="2"/>
  <c r="H252" i="2"/>
  <c r="K33" i="2"/>
  <c r="P33" i="2" s="1"/>
  <c r="K172" i="2"/>
  <c r="P172" i="2" s="1"/>
  <c r="K277" i="2"/>
  <c r="P277" i="2" s="1"/>
  <c r="K156" i="2"/>
  <c r="P156" i="2" s="1"/>
  <c r="H146" i="2"/>
  <c r="K146" i="2"/>
  <c r="P146" i="2" s="1"/>
  <c r="H188" i="2"/>
  <c r="K274" i="2"/>
  <c r="P274" i="2" s="1"/>
  <c r="K228" i="2"/>
  <c r="P228" i="2" s="1"/>
  <c r="H292" i="2"/>
  <c r="H173" i="2"/>
  <c r="K94" i="2"/>
  <c r="P94" i="2" s="1"/>
  <c r="K201" i="2"/>
  <c r="P201" i="2" s="1"/>
  <c r="K180" i="2"/>
  <c r="P180" i="2" s="1"/>
  <c r="H82" i="2"/>
  <c r="K284" i="2"/>
  <c r="P284" i="2" s="1"/>
  <c r="H260" i="2"/>
  <c r="H231" i="2"/>
  <c r="H76" i="2"/>
  <c r="H186" i="2"/>
  <c r="K186" i="2"/>
  <c r="P186" i="2" s="1"/>
  <c r="K168" i="2"/>
  <c r="P168" i="2" s="1"/>
  <c r="H168" i="2"/>
  <c r="H128" i="2"/>
  <c r="K128" i="2"/>
  <c r="P128" i="2" s="1"/>
  <c r="H282" i="2"/>
  <c r="K282" i="2"/>
  <c r="P282" i="2" s="1"/>
  <c r="H78" i="2"/>
  <c r="K78" i="2"/>
  <c r="P78" i="2" s="1"/>
  <c r="K250" i="2"/>
  <c r="P250" i="2" s="1"/>
  <c r="H250" i="2"/>
  <c r="K202" i="2"/>
  <c r="P202" i="2" s="1"/>
  <c r="H202" i="2"/>
  <c r="K56" i="2"/>
  <c r="P56" i="2" s="1"/>
  <c r="H56" i="2"/>
  <c r="H6" i="2"/>
  <c r="K6" i="2"/>
  <c r="P6" i="2" s="1"/>
  <c r="H208" i="2"/>
  <c r="K208" i="2"/>
  <c r="P208" i="2" s="1"/>
  <c r="H122" i="2"/>
  <c r="K122" i="2"/>
  <c r="P122" i="2" s="1"/>
  <c r="K16" i="2"/>
  <c r="P16" i="2" s="1"/>
  <c r="H16" i="2"/>
  <c r="K21" i="2"/>
  <c r="P21" i="2" s="1"/>
  <c r="K108" i="2"/>
  <c r="P108" i="2" s="1"/>
  <c r="K95" i="2"/>
  <c r="P95" i="2" s="1"/>
  <c r="K20" i="2"/>
  <c r="P20" i="2" s="1"/>
  <c r="H12" i="2"/>
  <c r="H226" i="2"/>
  <c r="K130" i="2"/>
  <c r="P130" i="2" s="1"/>
  <c r="K100" i="2"/>
  <c r="P100" i="2" s="1"/>
  <c r="K236" i="2"/>
  <c r="P236" i="2" s="1"/>
  <c r="H194" i="2"/>
  <c r="H51" i="2"/>
  <c r="K32" i="2"/>
  <c r="P32" i="2" s="1"/>
  <c r="H32" i="2"/>
  <c r="H48" i="2"/>
  <c r="K48" i="2"/>
  <c r="P48" i="2" s="1"/>
  <c r="H34" i="2"/>
  <c r="K34" i="2"/>
  <c r="P34" i="2" s="1"/>
  <c r="H8" i="2"/>
  <c r="K8" i="2"/>
  <c r="P8" i="2" s="1"/>
  <c r="H160" i="2"/>
  <c r="K160" i="2"/>
  <c r="P160" i="2" s="1"/>
  <c r="H98" i="2"/>
  <c r="K98" i="2"/>
  <c r="P98" i="2" s="1"/>
  <c r="K24" i="2"/>
  <c r="P24" i="2" s="1"/>
  <c r="H24" i="2"/>
  <c r="K218" i="2"/>
  <c r="P218" i="2" s="1"/>
  <c r="K162" i="2"/>
  <c r="P162" i="2" s="1"/>
  <c r="H162" i="2"/>
  <c r="K30" i="2"/>
  <c r="P30" i="2" s="1"/>
  <c r="H30" i="2"/>
  <c r="H26" i="2"/>
  <c r="K26" i="2"/>
  <c r="P26" i="2" s="1"/>
  <c r="K301" i="2"/>
  <c r="P301" i="2" s="1"/>
  <c r="H301" i="2"/>
  <c r="H138" i="2"/>
  <c r="K138" i="2"/>
  <c r="P138" i="2" s="1"/>
  <c r="K106" i="2"/>
  <c r="P106" i="2" s="1"/>
  <c r="H106" i="2"/>
  <c r="K103" i="2"/>
  <c r="P103" i="2" s="1"/>
  <c r="H103" i="2"/>
  <c r="K280" i="2"/>
  <c r="P280" i="2" s="1"/>
  <c r="H280" i="2"/>
  <c r="K290" i="2"/>
  <c r="P290" i="2" s="1"/>
  <c r="K144" i="2"/>
  <c r="P144" i="2" s="1"/>
  <c r="K50" i="2"/>
  <c r="P50" i="2" s="1"/>
  <c r="K266" i="2"/>
  <c r="P266" i="2" s="1"/>
  <c r="H266" i="2"/>
  <c r="K4" i="2"/>
  <c r="P4" i="2" s="1"/>
  <c r="K300" i="2"/>
  <c r="P300" i="2" s="1"/>
  <c r="H286" i="2"/>
  <c r="K254" i="2"/>
  <c r="P254" i="2" s="1"/>
  <c r="K242" i="2"/>
  <c r="P242" i="2" s="1"/>
  <c r="H298" i="2"/>
  <c r="K298" i="2"/>
  <c r="P298" i="2" s="1"/>
  <c r="H191" i="2"/>
  <c r="K191" i="2"/>
  <c r="P191" i="2" s="1"/>
  <c r="H148" i="2"/>
  <c r="K148" i="2"/>
  <c r="P148" i="2" s="1"/>
  <c r="K120" i="2"/>
  <c r="P120" i="2" s="1"/>
  <c r="H120" i="2"/>
  <c r="K80" i="2"/>
  <c r="P80" i="2" s="1"/>
  <c r="H80" i="2"/>
  <c r="H244" i="2"/>
  <c r="K220" i="2"/>
  <c r="P220" i="2" s="1"/>
  <c r="H64" i="2"/>
  <c r="H92" i="2"/>
  <c r="H58" i="2"/>
  <c r="K40" i="2"/>
  <c r="P40" i="2" s="1"/>
  <c r="H246" i="2"/>
  <c r="K246" i="2"/>
  <c r="P246" i="2" s="1"/>
  <c r="H182" i="2"/>
  <c r="K182" i="2"/>
  <c r="P182" i="2" s="1"/>
  <c r="H118" i="2"/>
  <c r="K118" i="2"/>
  <c r="P118" i="2" s="1"/>
  <c r="H54" i="2"/>
  <c r="K54" i="2"/>
  <c r="P54" i="2" s="1"/>
  <c r="H294" i="2"/>
  <c r="K294" i="2"/>
  <c r="P294" i="2" s="1"/>
  <c r="K230" i="2"/>
  <c r="P230" i="2" s="1"/>
  <c r="H230" i="2"/>
  <c r="K166" i="2"/>
  <c r="P166" i="2" s="1"/>
  <c r="H166" i="2"/>
  <c r="K102" i="2"/>
  <c r="P102" i="2" s="1"/>
  <c r="H102" i="2"/>
  <c r="H38" i="2"/>
  <c r="K38" i="2"/>
  <c r="P38" i="2" s="1"/>
  <c r="H278" i="2"/>
  <c r="K278" i="2"/>
  <c r="P278" i="2" s="1"/>
  <c r="H214" i="2"/>
  <c r="K214" i="2"/>
  <c r="P214" i="2" s="1"/>
  <c r="H150" i="2"/>
  <c r="K150" i="2"/>
  <c r="P150" i="2" s="1"/>
  <c r="H86" i="2"/>
  <c r="K86" i="2"/>
  <c r="P86" i="2" s="1"/>
  <c r="K262" i="2"/>
  <c r="P262" i="2" s="1"/>
  <c r="H262" i="2"/>
  <c r="K198" i="2"/>
  <c r="P198" i="2" s="1"/>
  <c r="H198" i="2"/>
  <c r="H134" i="2"/>
  <c r="K134" i="2"/>
  <c r="P134" i="2" s="1"/>
  <c r="H70" i="2"/>
  <c r="K70" i="2"/>
  <c r="P70" i="2" s="1"/>
  <c r="H249" i="2"/>
  <c r="K249" i="2"/>
  <c r="P249" i="2" s="1"/>
  <c r="H176" i="2"/>
  <c r="K176" i="2"/>
  <c r="P176" i="2" s="1"/>
  <c r="H112" i="2"/>
  <c r="K112" i="2"/>
  <c r="P112" i="2" s="1"/>
  <c r="H60" i="2"/>
  <c r="K60" i="2"/>
  <c r="P60" i="2" s="1"/>
  <c r="H28" i="2"/>
  <c r="K28" i="2"/>
  <c r="P28" i="2" s="1"/>
  <c r="H238" i="2"/>
  <c r="K238" i="2"/>
  <c r="P238" i="2" s="1"/>
  <c r="K232" i="2"/>
  <c r="P232" i="2" s="1"/>
  <c r="H232" i="2"/>
  <c r="H212" i="2"/>
  <c r="K212" i="2"/>
  <c r="P212" i="2" s="1"/>
  <c r="H174" i="2"/>
  <c r="K174" i="2"/>
  <c r="P174" i="2" s="1"/>
  <c r="H142" i="2"/>
  <c r="K142" i="2"/>
  <c r="P142" i="2" s="1"/>
  <c r="K113" i="2"/>
  <c r="P113" i="2" s="1"/>
  <c r="H113" i="2"/>
  <c r="K110" i="2"/>
  <c r="P110" i="2" s="1"/>
  <c r="H110" i="2"/>
  <c r="K84" i="2"/>
  <c r="P84" i="2" s="1"/>
  <c r="H84" i="2"/>
  <c r="K52" i="2"/>
  <c r="P52" i="2" s="1"/>
  <c r="H52" i="2"/>
  <c r="H46" i="2"/>
  <c r="K46" i="2"/>
  <c r="P46" i="2" s="1"/>
  <c r="H296" i="2"/>
  <c r="K276" i="2"/>
  <c r="P276" i="2" s="1"/>
  <c r="H136" i="2"/>
  <c r="H104" i="2"/>
  <c r="K14" i="2"/>
  <c r="P14" i="2" s="1"/>
  <c r="K206" i="2"/>
  <c r="P206" i="2" s="1"/>
  <c r="K72" i="2"/>
  <c r="P72" i="2" s="1"/>
  <c r="K248" i="2"/>
  <c r="P248" i="2" s="1"/>
  <c r="H248" i="2"/>
  <c r="H190" i="2"/>
  <c r="K190" i="2"/>
  <c r="P190" i="2" s="1"/>
  <c r="H164" i="2"/>
  <c r="K164" i="2"/>
  <c r="P164" i="2" s="1"/>
  <c r="K158" i="2"/>
  <c r="P158" i="2" s="1"/>
  <c r="H158" i="2"/>
  <c r="K152" i="2"/>
  <c r="P152" i="2" s="1"/>
  <c r="H152" i="2"/>
  <c r="H132" i="2"/>
  <c r="K132" i="2"/>
  <c r="P132" i="2" s="1"/>
  <c r="K126" i="2"/>
  <c r="P126" i="2" s="1"/>
  <c r="H126" i="2"/>
  <c r="H88" i="2"/>
  <c r="K88" i="2"/>
  <c r="P88" i="2" s="1"/>
  <c r="K68" i="2"/>
  <c r="P68" i="2" s="1"/>
  <c r="H68" i="2"/>
  <c r="H62" i="2"/>
  <c r="K62" i="2"/>
  <c r="P62" i="2" s="1"/>
  <c r="H36" i="2"/>
  <c r="K36" i="2"/>
  <c r="P36" i="2" s="1"/>
  <c r="H270" i="2"/>
  <c r="H196" i="2"/>
  <c r="H116" i="2"/>
  <c r="K288" i="2"/>
  <c r="P288" i="2" s="1"/>
  <c r="H288" i="2"/>
  <c r="K256" i="2"/>
  <c r="P256" i="2" s="1"/>
  <c r="H256" i="2"/>
  <c r="H204" i="2"/>
  <c r="K204" i="2"/>
  <c r="P204" i="2" s="1"/>
  <c r="H96" i="2"/>
  <c r="K96" i="2"/>
  <c r="P96" i="2" s="1"/>
  <c r="H219" i="2"/>
  <c r="H192" i="2"/>
  <c r="H18" i="2"/>
  <c r="H10" i="2"/>
  <c r="K272" i="2"/>
  <c r="P272" i="2" s="1"/>
  <c r="H258" i="2"/>
  <c r="H224" i="2"/>
  <c r="H210" i="2"/>
  <c r="H200" i="2"/>
  <c r="H184" i="2"/>
  <c r="K178" i="2"/>
  <c r="P178" i="2" s="1"/>
  <c r="K154" i="2"/>
  <c r="P154" i="2" s="1"/>
  <c r="K22" i="2"/>
  <c r="P22" i="2" s="1"/>
  <c r="H22" i="2"/>
  <c r="K240" i="2"/>
  <c r="P240" i="2" s="1"/>
  <c r="H90" i="2"/>
  <c r="K90" i="2"/>
  <c r="P90" i="2" s="1"/>
  <c r="H74" i="2"/>
  <c r="K74" i="2"/>
  <c r="P74" i="2" s="1"/>
  <c r="H42" i="2"/>
  <c r="K42" i="2"/>
  <c r="P42" i="2" s="1"/>
  <c r="H264" i="2"/>
  <c r="K234" i="2"/>
  <c r="P234" i="2" s="1"/>
  <c r="K216" i="2"/>
  <c r="P216" i="2" s="1"/>
  <c r="H170" i="2"/>
  <c r="K114" i="2"/>
  <c r="P114" i="2" s="1"/>
  <c r="H124" i="2"/>
  <c r="K124" i="2"/>
  <c r="P124" i="2" s="1"/>
  <c r="H44" i="2"/>
  <c r="K44" i="2"/>
  <c r="P44" i="2" s="1"/>
  <c r="K2" i="2"/>
  <c r="P2" i="2" s="1"/>
  <c r="H2" i="2"/>
  <c r="K275" i="2"/>
  <c r="P275" i="2" s="1"/>
  <c r="H275" i="2"/>
  <c r="H273" i="2"/>
  <c r="K273" i="2"/>
  <c r="P273" i="2" s="1"/>
  <c r="H271" i="2"/>
  <c r="K271" i="2"/>
  <c r="P271" i="2" s="1"/>
  <c r="H243" i="2"/>
  <c r="K243" i="2"/>
  <c r="P243" i="2" s="1"/>
  <c r="K241" i="2"/>
  <c r="P241" i="2" s="1"/>
  <c r="H241" i="2"/>
  <c r="H239" i="2"/>
  <c r="K239" i="2"/>
  <c r="P239" i="2" s="1"/>
  <c r="H237" i="2"/>
  <c r="K237" i="2"/>
  <c r="P237" i="2" s="1"/>
  <c r="H213" i="2"/>
  <c r="K213" i="2"/>
  <c r="P213" i="2" s="1"/>
  <c r="H211" i="2"/>
  <c r="K211" i="2"/>
  <c r="P211" i="2" s="1"/>
  <c r="H209" i="2"/>
  <c r="K209" i="2"/>
  <c r="P209" i="2" s="1"/>
  <c r="H207" i="2"/>
  <c r="K207" i="2"/>
  <c r="P207" i="2" s="1"/>
  <c r="H199" i="2"/>
  <c r="K199" i="2"/>
  <c r="P199" i="2" s="1"/>
  <c r="K197" i="2"/>
  <c r="P197" i="2" s="1"/>
  <c r="H197" i="2"/>
  <c r="H195" i="2"/>
  <c r="K195" i="2"/>
  <c r="P195" i="2" s="1"/>
  <c r="H193" i="2"/>
  <c r="K193" i="2"/>
  <c r="P193" i="2" s="1"/>
  <c r="H183" i="2"/>
  <c r="K183" i="2"/>
  <c r="P183" i="2" s="1"/>
  <c r="H181" i="2"/>
  <c r="K181" i="2"/>
  <c r="P181" i="2" s="1"/>
  <c r="K179" i="2"/>
  <c r="P179" i="2" s="1"/>
  <c r="H179" i="2"/>
  <c r="H177" i="2"/>
  <c r="K177" i="2"/>
  <c r="P177" i="2" s="1"/>
  <c r="K153" i="2"/>
  <c r="P153" i="2" s="1"/>
  <c r="H153" i="2"/>
  <c r="H151" i="2"/>
  <c r="K151" i="2"/>
  <c r="P151" i="2" s="1"/>
  <c r="H149" i="2"/>
  <c r="K149" i="2"/>
  <c r="P149" i="2" s="1"/>
  <c r="H147" i="2"/>
  <c r="K147" i="2"/>
  <c r="P147" i="2" s="1"/>
  <c r="H145" i="2"/>
  <c r="K145" i="2"/>
  <c r="P145" i="2" s="1"/>
  <c r="H143" i="2"/>
  <c r="K143" i="2"/>
  <c r="P143" i="2" s="1"/>
  <c r="H141" i="2"/>
  <c r="K141" i="2"/>
  <c r="P141" i="2" s="1"/>
  <c r="H139" i="2"/>
  <c r="K139" i="2"/>
  <c r="P139" i="2" s="1"/>
  <c r="K137" i="2"/>
  <c r="P137" i="2" s="1"/>
  <c r="H137" i="2"/>
  <c r="K135" i="2"/>
  <c r="P135" i="2" s="1"/>
  <c r="H135" i="2"/>
  <c r="H133" i="2"/>
  <c r="K133" i="2"/>
  <c r="P133" i="2" s="1"/>
  <c r="K131" i="2"/>
  <c r="P131" i="2" s="1"/>
  <c r="H131" i="2"/>
  <c r="H129" i="2"/>
  <c r="K129" i="2"/>
  <c r="P129" i="2" s="1"/>
  <c r="H127" i="2"/>
  <c r="K127" i="2"/>
  <c r="P127" i="2" s="1"/>
  <c r="H111" i="2"/>
  <c r="K111" i="2"/>
  <c r="P111" i="2" s="1"/>
  <c r="H109" i="2"/>
  <c r="K109" i="2"/>
  <c r="P109" i="2" s="1"/>
  <c r="H107" i="2"/>
  <c r="K107" i="2"/>
  <c r="P107" i="2" s="1"/>
  <c r="H93" i="2"/>
  <c r="K93" i="2"/>
  <c r="P93" i="2" s="1"/>
  <c r="K89" i="2"/>
  <c r="P89" i="2" s="1"/>
  <c r="H89" i="2"/>
  <c r="H87" i="2"/>
  <c r="K87" i="2"/>
  <c r="P87" i="2" s="1"/>
  <c r="H85" i="2"/>
  <c r="K85" i="2"/>
  <c r="P85" i="2" s="1"/>
  <c r="H81" i="2"/>
  <c r="K81" i="2"/>
  <c r="P81" i="2" s="1"/>
  <c r="H79" i="2"/>
  <c r="K79" i="2"/>
  <c r="P79" i="2" s="1"/>
  <c r="H75" i="2"/>
  <c r="K75" i="2"/>
  <c r="P75" i="2" s="1"/>
  <c r="K73" i="2"/>
  <c r="P73" i="2" s="1"/>
  <c r="H73" i="2"/>
  <c r="H71" i="2"/>
  <c r="K71" i="2"/>
  <c r="P71" i="2" s="1"/>
  <c r="K69" i="2"/>
  <c r="P69" i="2" s="1"/>
  <c r="H69" i="2"/>
  <c r="H67" i="2"/>
  <c r="K67" i="2"/>
  <c r="P67" i="2" s="1"/>
  <c r="H65" i="2"/>
  <c r="K65" i="2"/>
  <c r="P65" i="2" s="1"/>
  <c r="H63" i="2"/>
  <c r="K63" i="2"/>
  <c r="P63" i="2" s="1"/>
  <c r="H29" i="2"/>
  <c r="K29" i="2"/>
  <c r="P29" i="2" s="1"/>
  <c r="H19" i="2"/>
  <c r="K19" i="2"/>
  <c r="P19" i="2" s="1"/>
  <c r="H9" i="2"/>
  <c r="K9" i="2"/>
  <c r="P9" i="2" s="1"/>
  <c r="H3" i="2"/>
  <c r="K3" i="2"/>
  <c r="P3" i="2" s="1"/>
  <c r="K295" i="2"/>
  <c r="P295" i="2" s="1"/>
  <c r="K279" i="2"/>
  <c r="P279" i="2" s="1"/>
  <c r="K267" i="2"/>
  <c r="P267" i="2" s="1"/>
  <c r="H251" i="2"/>
  <c r="H233" i="2"/>
  <c r="H221" i="2"/>
  <c r="K185" i="2"/>
  <c r="P185" i="2" s="1"/>
  <c r="H175" i="2"/>
  <c r="H97" i="2"/>
  <c r="K53" i="2"/>
  <c r="P53" i="2" s="1"/>
  <c r="K13" i="2"/>
  <c r="P13" i="2" s="1"/>
  <c r="H269" i="2"/>
  <c r="K245" i="2"/>
  <c r="P245" i="2" s="1"/>
  <c r="H235" i="2"/>
  <c r="K215" i="2"/>
  <c r="P215" i="2" s="1"/>
  <c r="H205" i="2"/>
  <c r="H159" i="2"/>
  <c r="H105" i="2"/>
  <c r="K55" i="2"/>
  <c r="P55" i="2" s="1"/>
  <c r="H37" i="2"/>
  <c r="K27" i="2"/>
  <c r="P27" i="2" s="1"/>
  <c r="H293" i="2"/>
  <c r="K293" i="2"/>
  <c r="P293" i="2" s="1"/>
  <c r="H291" i="2"/>
  <c r="K291" i="2"/>
  <c r="P291" i="2" s="1"/>
  <c r="H289" i="2"/>
  <c r="K289" i="2"/>
  <c r="P289" i="2" s="1"/>
  <c r="H287" i="2"/>
  <c r="K287" i="2"/>
  <c r="P287" i="2" s="1"/>
  <c r="H285" i="2"/>
  <c r="K285" i="2"/>
  <c r="P285" i="2" s="1"/>
  <c r="H261" i="2"/>
  <c r="K261" i="2"/>
  <c r="P261" i="2" s="1"/>
  <c r="H259" i="2"/>
  <c r="K259" i="2"/>
  <c r="P259" i="2" s="1"/>
  <c r="H257" i="2"/>
  <c r="K257" i="2"/>
  <c r="P257" i="2" s="1"/>
  <c r="H255" i="2"/>
  <c r="K255" i="2"/>
  <c r="P255" i="2" s="1"/>
  <c r="H253" i="2"/>
  <c r="K253" i="2"/>
  <c r="P253" i="2" s="1"/>
  <c r="K227" i="2"/>
  <c r="P227" i="2" s="1"/>
  <c r="H227" i="2"/>
  <c r="H225" i="2"/>
  <c r="K225" i="2"/>
  <c r="P225" i="2" s="1"/>
  <c r="H223" i="2"/>
  <c r="K223" i="2"/>
  <c r="P223" i="2" s="1"/>
  <c r="K167" i="2"/>
  <c r="P167" i="2" s="1"/>
  <c r="H167" i="2"/>
  <c r="H165" i="2"/>
  <c r="K165" i="2"/>
  <c r="P165" i="2" s="1"/>
  <c r="H163" i="2"/>
  <c r="K163" i="2"/>
  <c r="P163" i="2" s="1"/>
  <c r="H161" i="2"/>
  <c r="K161" i="2"/>
  <c r="P161" i="2" s="1"/>
  <c r="H123" i="2"/>
  <c r="K123" i="2"/>
  <c r="P123" i="2" s="1"/>
  <c r="K121" i="2"/>
  <c r="P121" i="2" s="1"/>
  <c r="H121" i="2"/>
  <c r="H83" i="2"/>
  <c r="K83" i="2"/>
  <c r="P83" i="2" s="1"/>
  <c r="H77" i="2"/>
  <c r="K77" i="2"/>
  <c r="P77" i="2" s="1"/>
  <c r="H59" i="2"/>
  <c r="K59" i="2"/>
  <c r="P59" i="2" s="1"/>
  <c r="K57" i="2"/>
  <c r="P57" i="2" s="1"/>
  <c r="H57" i="2"/>
  <c r="H47" i="2"/>
  <c r="K47" i="2"/>
  <c r="P47" i="2" s="1"/>
  <c r="H45" i="2"/>
  <c r="K45" i="2"/>
  <c r="P45" i="2" s="1"/>
  <c r="H43" i="2"/>
  <c r="K43" i="2"/>
  <c r="P43" i="2" s="1"/>
  <c r="K25" i="2"/>
  <c r="P25" i="2" s="1"/>
  <c r="H25" i="2"/>
  <c r="H23" i="2"/>
  <c r="K23" i="2"/>
  <c r="P23" i="2" s="1"/>
  <c r="H15" i="2"/>
  <c r="K15" i="2"/>
  <c r="P15" i="2" s="1"/>
  <c r="H11" i="2"/>
  <c r="K11" i="2"/>
  <c r="P11" i="2" s="1"/>
  <c r="H7" i="2"/>
  <c r="K7" i="2"/>
  <c r="P7" i="2" s="1"/>
  <c r="K5" i="2"/>
  <c r="P5" i="2" s="1"/>
  <c r="H5" i="2"/>
  <c r="H203" i="2"/>
  <c r="H157" i="2"/>
  <c r="K115" i="2"/>
  <c r="P115" i="2" s="1"/>
  <c r="H41" i="2"/>
  <c r="H35" i="2"/>
  <c r="K297" i="2"/>
  <c r="P297" i="2" s="1"/>
  <c r="K281" i="2"/>
  <c r="P281" i="2" s="1"/>
  <c r="H187" i="2"/>
  <c r="K169" i="2"/>
  <c r="P169" i="2" s="1"/>
  <c r="K117" i="2"/>
  <c r="P117" i="2" s="1"/>
  <c r="H99" i="2"/>
  <c r="K61" i="2"/>
  <c r="P61" i="2" s="1"/>
  <c r="K17" i="2"/>
  <c r="P17" i="2" s="1"/>
  <c r="K299" i="2"/>
  <c r="P299" i="2" s="1"/>
  <c r="H283" i="2"/>
  <c r="K263" i="2"/>
  <c r="P263" i="2" s="1"/>
  <c r="K247" i="2"/>
  <c r="P247" i="2" s="1"/>
  <c r="K229" i="2"/>
  <c r="P229" i="2" s="1"/>
  <c r="H217" i="2"/>
  <c r="H189" i="2"/>
  <c r="H171" i="2"/>
  <c r="K125" i="2"/>
  <c r="P125" i="2" s="1"/>
  <c r="K119" i="2"/>
  <c r="P119" i="2" s="1"/>
  <c r="H101" i="2"/>
  <c r="K91" i="2"/>
  <c r="P91" i="2" s="1"/>
  <c r="K49" i="2"/>
  <c r="P49" i="2" s="1"/>
  <c r="H39" i="2"/>
  <c r="K31" i="2"/>
  <c r="P31" i="2" s="1"/>
  <c r="Q263" i="2" l="1"/>
  <c r="R263" i="2" s="1"/>
  <c r="Q11" i="2"/>
  <c r="R11" i="2" s="1"/>
  <c r="Q43" i="2"/>
  <c r="R43" i="2" s="1"/>
  <c r="Q59" i="2"/>
  <c r="R59" i="2" s="1"/>
  <c r="Q123" i="2"/>
  <c r="R123" i="2" s="1"/>
  <c r="Q225" i="2"/>
  <c r="R225" i="2" s="1"/>
  <c r="Q257" i="2"/>
  <c r="R257" i="2" s="1"/>
  <c r="Q287" i="2"/>
  <c r="R287" i="2" s="1"/>
  <c r="Q27" i="2"/>
  <c r="R27" i="2" s="1"/>
  <c r="Q295" i="2"/>
  <c r="R295" i="2" s="1"/>
  <c r="Q73" i="2"/>
  <c r="R73" i="2" s="1"/>
  <c r="Q89" i="2"/>
  <c r="R89" i="2" s="1"/>
  <c r="Q137" i="2"/>
  <c r="R137" i="2" s="1"/>
  <c r="Q153" i="2"/>
  <c r="R153" i="2" s="1"/>
  <c r="Q179" i="2"/>
  <c r="R179" i="2" s="1"/>
  <c r="Q2" i="2"/>
  <c r="Q234" i="2"/>
  <c r="R234" i="2" s="1"/>
  <c r="Q74" i="2"/>
  <c r="R74" i="2" s="1"/>
  <c r="Q240" i="2"/>
  <c r="R240" i="2" s="1"/>
  <c r="Q178" i="2"/>
  <c r="R178" i="2" s="1"/>
  <c r="Q256" i="2"/>
  <c r="R256" i="2" s="1"/>
  <c r="Q62" i="2"/>
  <c r="R62" i="2" s="1"/>
  <c r="Q88" i="2"/>
  <c r="R88" i="2" s="1"/>
  <c r="Q132" i="2"/>
  <c r="R132" i="2" s="1"/>
  <c r="Q190" i="2"/>
  <c r="R190" i="2" s="1"/>
  <c r="Q72" i="2"/>
  <c r="R72" i="2" s="1"/>
  <c r="Q84" i="2"/>
  <c r="R84" i="2" s="1"/>
  <c r="Q113" i="2"/>
  <c r="R113" i="2" s="1"/>
  <c r="Q232" i="2"/>
  <c r="R232" i="2" s="1"/>
  <c r="Q262" i="2"/>
  <c r="R262" i="2" s="1"/>
  <c r="Q102" i="2"/>
  <c r="R102" i="2" s="1"/>
  <c r="Q230" i="2"/>
  <c r="R230" i="2" s="1"/>
  <c r="Q120" i="2"/>
  <c r="R120" i="2" s="1"/>
  <c r="Q254" i="2"/>
  <c r="R254" i="2" s="1"/>
  <c r="Q290" i="2"/>
  <c r="R290" i="2" s="1"/>
  <c r="Q103" i="2"/>
  <c r="R103" i="2" s="1"/>
  <c r="Q162" i="2"/>
  <c r="R162" i="2" s="1"/>
  <c r="Q98" i="2"/>
  <c r="R98" i="2" s="1"/>
  <c r="Q8" i="2"/>
  <c r="R8" i="2" s="1"/>
  <c r="Q48" i="2"/>
  <c r="R48" i="2" s="1"/>
  <c r="Q130" i="2"/>
  <c r="R130" i="2" s="1"/>
  <c r="Q95" i="2"/>
  <c r="R95" i="2" s="1"/>
  <c r="Q16" i="2"/>
  <c r="R16" i="2" s="1"/>
  <c r="Q56" i="2"/>
  <c r="R56" i="2" s="1"/>
  <c r="Q250" i="2"/>
  <c r="R250" i="2" s="1"/>
  <c r="Q168" i="2"/>
  <c r="R168" i="2" s="1"/>
  <c r="Q180" i="2"/>
  <c r="R180" i="2" s="1"/>
  <c r="Q146" i="2"/>
  <c r="R146" i="2" s="1"/>
  <c r="Q172" i="2"/>
  <c r="R172" i="2" s="1"/>
  <c r="Q265" i="2"/>
  <c r="R265" i="2" s="1"/>
  <c r="Q119" i="2"/>
  <c r="R119" i="2" s="1"/>
  <c r="Q281" i="2"/>
  <c r="R281" i="2" s="1"/>
  <c r="Q115" i="2"/>
  <c r="R115" i="2" s="1"/>
  <c r="Q5" i="2"/>
  <c r="R5" i="2" s="1"/>
  <c r="Q167" i="2"/>
  <c r="R167" i="2" s="1"/>
  <c r="Q3" i="2"/>
  <c r="R3" i="2" s="1"/>
  <c r="Q63" i="2"/>
  <c r="R63" i="2" s="1"/>
  <c r="Q75" i="2"/>
  <c r="R75" i="2" s="1"/>
  <c r="Q87" i="2"/>
  <c r="R87" i="2" s="1"/>
  <c r="Q93" i="2"/>
  <c r="R93" i="2" s="1"/>
  <c r="Q127" i="2"/>
  <c r="R127" i="2" s="1"/>
  <c r="Q139" i="2"/>
  <c r="R139" i="2" s="1"/>
  <c r="Q143" i="2"/>
  <c r="R143" i="2" s="1"/>
  <c r="Q181" i="2"/>
  <c r="R181" i="2" s="1"/>
  <c r="Q193" i="2"/>
  <c r="R193" i="2" s="1"/>
  <c r="Q276" i="2"/>
  <c r="R276" i="2" s="1"/>
  <c r="Q212" i="2"/>
  <c r="R212" i="2" s="1"/>
  <c r="Q60" i="2"/>
  <c r="R60" i="2" s="1"/>
  <c r="Q70" i="2"/>
  <c r="R70" i="2" s="1"/>
  <c r="Q214" i="2"/>
  <c r="R214" i="2" s="1"/>
  <c r="Q118" i="2"/>
  <c r="R118" i="2" s="1"/>
  <c r="Q148" i="2"/>
  <c r="R148" i="2" s="1"/>
  <c r="Q266" i="2"/>
  <c r="R266" i="2" s="1"/>
  <c r="Q108" i="2"/>
  <c r="R108" i="2" s="1"/>
  <c r="Q6" i="2"/>
  <c r="R6" i="2" s="1"/>
  <c r="Q128" i="2"/>
  <c r="R128" i="2" s="1"/>
  <c r="Q228" i="2"/>
  <c r="R228" i="2" s="1"/>
  <c r="Q33" i="2"/>
  <c r="R33" i="2" s="1"/>
  <c r="Q125" i="2"/>
  <c r="R125" i="2" s="1"/>
  <c r="Q117" i="2"/>
  <c r="R117" i="2" s="1"/>
  <c r="Q15" i="2"/>
  <c r="R15" i="2" s="1"/>
  <c r="Q165" i="2"/>
  <c r="R165" i="2" s="1"/>
  <c r="Q255" i="2"/>
  <c r="R255" i="2" s="1"/>
  <c r="Q285" i="2"/>
  <c r="R285" i="2" s="1"/>
  <c r="Q293" i="2"/>
  <c r="R293" i="2" s="1"/>
  <c r="Q13" i="2"/>
  <c r="R13" i="2" s="1"/>
  <c r="Q267" i="2"/>
  <c r="R267" i="2" s="1"/>
  <c r="Q135" i="2"/>
  <c r="R135" i="2" s="1"/>
  <c r="Q197" i="2"/>
  <c r="R197" i="2" s="1"/>
  <c r="Q241" i="2"/>
  <c r="R241" i="2" s="1"/>
  <c r="Q275" i="2"/>
  <c r="R275" i="2" s="1"/>
  <c r="Q42" i="2"/>
  <c r="R42" i="2" s="1"/>
  <c r="Q90" i="2"/>
  <c r="R90" i="2" s="1"/>
  <c r="Q22" i="2"/>
  <c r="R22" i="2" s="1"/>
  <c r="Q272" i="2"/>
  <c r="R272" i="2" s="1"/>
  <c r="Q288" i="2"/>
  <c r="R288" i="2" s="1"/>
  <c r="Q36" i="2"/>
  <c r="R36" i="2" s="1"/>
  <c r="Q164" i="2"/>
  <c r="R164" i="2" s="1"/>
  <c r="Q14" i="2"/>
  <c r="R14" i="2" s="1"/>
  <c r="Q52" i="2"/>
  <c r="R52" i="2" s="1"/>
  <c r="Q110" i="2"/>
  <c r="R110" i="2" s="1"/>
  <c r="Q198" i="2"/>
  <c r="R198" i="2" s="1"/>
  <c r="Q166" i="2"/>
  <c r="R166" i="2" s="1"/>
  <c r="Q80" i="2"/>
  <c r="R80" i="2" s="1"/>
  <c r="Q300" i="2"/>
  <c r="R300" i="2" s="1"/>
  <c r="Q50" i="2"/>
  <c r="R50" i="2" s="1"/>
  <c r="Q280" i="2"/>
  <c r="R280" i="2" s="1"/>
  <c r="Q106" i="2"/>
  <c r="R106" i="2" s="1"/>
  <c r="Q301" i="2"/>
  <c r="R301" i="2" s="1"/>
  <c r="Q30" i="2"/>
  <c r="R30" i="2" s="1"/>
  <c r="Q160" i="2"/>
  <c r="R160" i="2" s="1"/>
  <c r="Q34" i="2"/>
  <c r="R34" i="2" s="1"/>
  <c r="Q236" i="2"/>
  <c r="R236" i="2" s="1"/>
  <c r="Q21" i="2"/>
  <c r="R21" i="2" s="1"/>
  <c r="Q202" i="2"/>
  <c r="R202" i="2" s="1"/>
  <c r="Q284" i="2"/>
  <c r="R284" i="2" s="1"/>
  <c r="Q94" i="2"/>
  <c r="R94" i="2" s="1"/>
  <c r="Q274" i="2"/>
  <c r="R274" i="2" s="1"/>
  <c r="Q156" i="2"/>
  <c r="R156" i="2" s="1"/>
  <c r="Q66" i="2"/>
  <c r="R66" i="2" s="1"/>
  <c r="Q31" i="2"/>
  <c r="R31" i="2" s="1"/>
  <c r="Q61" i="2"/>
  <c r="R61" i="2" s="1"/>
  <c r="Q23" i="2"/>
  <c r="R23" i="2" s="1"/>
  <c r="Q47" i="2"/>
  <c r="R47" i="2" s="1"/>
  <c r="Q83" i="2"/>
  <c r="R83" i="2" s="1"/>
  <c r="Q163" i="2"/>
  <c r="R163" i="2" s="1"/>
  <c r="Q253" i="2"/>
  <c r="R253" i="2" s="1"/>
  <c r="Q261" i="2"/>
  <c r="R261" i="2" s="1"/>
  <c r="Q291" i="2"/>
  <c r="R291" i="2" s="1"/>
  <c r="Q245" i="2"/>
  <c r="R245" i="2" s="1"/>
  <c r="Q69" i="2"/>
  <c r="R69" i="2" s="1"/>
  <c r="Q19" i="2"/>
  <c r="R19" i="2" s="1"/>
  <c r="Q67" i="2"/>
  <c r="R67" i="2" s="1"/>
  <c r="Q71" i="2"/>
  <c r="R71" i="2" s="1"/>
  <c r="Q81" i="2"/>
  <c r="R81" i="2" s="1"/>
  <c r="Q109" i="2"/>
  <c r="R109" i="2" s="1"/>
  <c r="Q147" i="2"/>
  <c r="R147" i="2" s="1"/>
  <c r="Q151" i="2"/>
  <c r="R151" i="2" s="1"/>
  <c r="Q177" i="2"/>
  <c r="R177" i="2" s="1"/>
  <c r="Q207" i="2"/>
  <c r="R207" i="2" s="1"/>
  <c r="Q211" i="2"/>
  <c r="R211" i="2" s="1"/>
  <c r="Q237" i="2"/>
  <c r="R237" i="2" s="1"/>
  <c r="Q271" i="2"/>
  <c r="R271" i="2" s="1"/>
  <c r="Q44" i="2"/>
  <c r="R44" i="2" s="1"/>
  <c r="Q114" i="2"/>
  <c r="R114" i="2" s="1"/>
  <c r="Q204" i="2"/>
  <c r="R204" i="2" s="1"/>
  <c r="Q158" i="2"/>
  <c r="R158" i="2" s="1"/>
  <c r="Q206" i="2"/>
  <c r="R206" i="2" s="1"/>
  <c r="Q142" i="2"/>
  <c r="R142" i="2" s="1"/>
  <c r="Q238" i="2"/>
  <c r="R238" i="2" s="1"/>
  <c r="Q176" i="2"/>
  <c r="R176" i="2" s="1"/>
  <c r="Q86" i="2"/>
  <c r="R86" i="2" s="1"/>
  <c r="Q38" i="2"/>
  <c r="R38" i="2" s="1"/>
  <c r="Q294" i="2"/>
  <c r="R294" i="2" s="1"/>
  <c r="Q246" i="2"/>
  <c r="R246" i="2" s="1"/>
  <c r="Q298" i="2"/>
  <c r="R298" i="2" s="1"/>
  <c r="Q218" i="2"/>
  <c r="R218" i="2" s="1"/>
  <c r="Q122" i="2"/>
  <c r="R122" i="2" s="1"/>
  <c r="Q78" i="2"/>
  <c r="R78" i="2" s="1"/>
  <c r="Q186" i="2"/>
  <c r="R186" i="2" s="1"/>
  <c r="Q201" i="2"/>
  <c r="R201" i="2" s="1"/>
  <c r="Q268" i="2"/>
  <c r="R268" i="2" s="1"/>
  <c r="Q49" i="2"/>
  <c r="R49" i="2" s="1"/>
  <c r="Q229" i="2"/>
  <c r="R229" i="2" s="1"/>
  <c r="Q299" i="2"/>
  <c r="R299" i="2" s="1"/>
  <c r="Q297" i="2"/>
  <c r="R297" i="2" s="1"/>
  <c r="Q7" i="2"/>
  <c r="R7" i="2" s="1"/>
  <c r="Q45" i="2"/>
  <c r="R45" i="2" s="1"/>
  <c r="Q77" i="2"/>
  <c r="R77" i="2" s="1"/>
  <c r="Q161" i="2"/>
  <c r="R161" i="2" s="1"/>
  <c r="Q223" i="2"/>
  <c r="R223" i="2" s="1"/>
  <c r="Q259" i="2"/>
  <c r="R259" i="2" s="1"/>
  <c r="Q289" i="2"/>
  <c r="R289" i="2" s="1"/>
  <c r="Q55" i="2"/>
  <c r="R55" i="2" s="1"/>
  <c r="Q215" i="2"/>
  <c r="R215" i="2" s="1"/>
  <c r="Q185" i="2"/>
  <c r="R185" i="2" s="1"/>
  <c r="Q131" i="2"/>
  <c r="R131" i="2" s="1"/>
  <c r="Q91" i="2"/>
  <c r="R91" i="2" s="1"/>
  <c r="Q247" i="2"/>
  <c r="R247" i="2" s="1"/>
  <c r="Q17" i="2"/>
  <c r="R17" i="2" s="1"/>
  <c r="Q169" i="2"/>
  <c r="R169" i="2" s="1"/>
  <c r="Q25" i="2"/>
  <c r="R25" i="2" s="1"/>
  <c r="Q57" i="2"/>
  <c r="R57" i="2" s="1"/>
  <c r="Q121" i="2"/>
  <c r="R121" i="2" s="1"/>
  <c r="Q227" i="2"/>
  <c r="R227" i="2" s="1"/>
  <c r="Q53" i="2"/>
  <c r="R53" i="2" s="1"/>
  <c r="Q279" i="2"/>
  <c r="R279" i="2" s="1"/>
  <c r="Q9" i="2"/>
  <c r="R9" i="2" s="1"/>
  <c r="Q29" i="2"/>
  <c r="R29" i="2" s="1"/>
  <c r="Q65" i="2"/>
  <c r="R65" i="2" s="1"/>
  <c r="Q79" i="2"/>
  <c r="R79" i="2" s="1"/>
  <c r="Q85" i="2"/>
  <c r="R85" i="2" s="1"/>
  <c r="Q107" i="2"/>
  <c r="R107" i="2" s="1"/>
  <c r="Q111" i="2"/>
  <c r="R111" i="2" s="1"/>
  <c r="Q129" i="2"/>
  <c r="R129" i="2" s="1"/>
  <c r="Q133" i="2"/>
  <c r="R133" i="2" s="1"/>
  <c r="Q141" i="2"/>
  <c r="R141" i="2" s="1"/>
  <c r="Q145" i="2"/>
  <c r="R145" i="2" s="1"/>
  <c r="Q149" i="2"/>
  <c r="R149" i="2" s="1"/>
  <c r="Q183" i="2"/>
  <c r="R183" i="2" s="1"/>
  <c r="Q195" i="2"/>
  <c r="R195" i="2" s="1"/>
  <c r="Q199" i="2"/>
  <c r="R199" i="2" s="1"/>
  <c r="Q209" i="2"/>
  <c r="R209" i="2" s="1"/>
  <c r="Q213" i="2"/>
  <c r="R213" i="2" s="1"/>
  <c r="Q239" i="2"/>
  <c r="R239" i="2" s="1"/>
  <c r="Q243" i="2"/>
  <c r="R243" i="2" s="1"/>
  <c r="Q273" i="2"/>
  <c r="R273" i="2" s="1"/>
  <c r="Q124" i="2"/>
  <c r="R124" i="2" s="1"/>
  <c r="Q216" i="2"/>
  <c r="R216" i="2" s="1"/>
  <c r="Q154" i="2"/>
  <c r="R154" i="2" s="1"/>
  <c r="Q96" i="2"/>
  <c r="R96" i="2" s="1"/>
  <c r="Q68" i="2"/>
  <c r="R68" i="2" s="1"/>
  <c r="Q126" i="2"/>
  <c r="R126" i="2" s="1"/>
  <c r="Q152" i="2"/>
  <c r="R152" i="2" s="1"/>
  <c r="Q248" i="2"/>
  <c r="R248" i="2" s="1"/>
  <c r="Q46" i="2"/>
  <c r="R46" i="2" s="1"/>
  <c r="Q174" i="2"/>
  <c r="R174" i="2" s="1"/>
  <c r="Q28" i="2"/>
  <c r="R28" i="2" s="1"/>
  <c r="Q112" i="2"/>
  <c r="R112" i="2" s="1"/>
  <c r="Q249" i="2"/>
  <c r="R249" i="2" s="1"/>
  <c r="Q134" i="2"/>
  <c r="R134" i="2" s="1"/>
  <c r="Q150" i="2"/>
  <c r="R150" i="2" s="1"/>
  <c r="Q278" i="2"/>
  <c r="R278" i="2" s="1"/>
  <c r="Q54" i="2"/>
  <c r="R54" i="2" s="1"/>
  <c r="Q182" i="2"/>
  <c r="R182" i="2" s="1"/>
  <c r="Q40" i="2"/>
  <c r="R40" i="2" s="1"/>
  <c r="Q220" i="2"/>
  <c r="R220" i="2" s="1"/>
  <c r="Q191" i="2"/>
  <c r="R191" i="2" s="1"/>
  <c r="Q242" i="2"/>
  <c r="R242" i="2" s="1"/>
  <c r="Q4" i="2"/>
  <c r="R4" i="2" s="1"/>
  <c r="Q144" i="2"/>
  <c r="R144" i="2" s="1"/>
  <c r="Q138" i="2"/>
  <c r="R138" i="2" s="1"/>
  <c r="Q26" i="2"/>
  <c r="R26" i="2" s="1"/>
  <c r="Q24" i="2"/>
  <c r="R24" i="2" s="1"/>
  <c r="Q32" i="2"/>
  <c r="R32" i="2" s="1"/>
  <c r="Q100" i="2"/>
  <c r="R100" i="2" s="1"/>
  <c r="Q20" i="2"/>
  <c r="R20" i="2" s="1"/>
  <c r="Q208" i="2"/>
  <c r="R208" i="2" s="1"/>
  <c r="Q282" i="2"/>
  <c r="R282" i="2" s="1"/>
  <c r="Q277" i="2"/>
  <c r="R277" i="2" s="1"/>
  <c r="C4" i="2"/>
  <c r="N5" i="2"/>
  <c r="O5" i="2"/>
  <c r="O4" i="2"/>
  <c r="N6" i="2"/>
  <c r="C5" i="2"/>
  <c r="R2" i="2" l="1"/>
  <c r="O6" i="2"/>
  <c r="N7" i="2"/>
  <c r="C6" i="2"/>
  <c r="O7" i="2" l="1"/>
  <c r="N8" i="2"/>
  <c r="C7" i="2"/>
  <c r="O8" i="2" l="1"/>
  <c r="N9" i="2"/>
  <c r="C8" i="2"/>
  <c r="O9" i="2" l="1"/>
  <c r="N10" i="2"/>
  <c r="C9" i="2"/>
  <c r="O10" i="2" l="1"/>
  <c r="C10" i="2"/>
  <c r="N11" i="2"/>
  <c r="O11" i="2" l="1"/>
  <c r="N12" i="2"/>
  <c r="C11" i="2"/>
  <c r="O12" i="2" l="1"/>
  <c r="C12" i="2"/>
  <c r="N13" i="2"/>
  <c r="O13" i="2" l="1"/>
  <c r="N14" i="2"/>
  <c r="C13" i="2"/>
  <c r="O14" i="2" l="1"/>
  <c r="N15" i="2"/>
  <c r="C14" i="2"/>
  <c r="O15" i="2" l="1"/>
  <c r="C15" i="2"/>
  <c r="N16" i="2"/>
  <c r="O16" i="2" l="1"/>
  <c r="N17" i="2"/>
  <c r="C16" i="2"/>
  <c r="O17" i="2" l="1"/>
  <c r="C17" i="2"/>
  <c r="N18" i="2"/>
  <c r="O18" i="2" l="1"/>
  <c r="C18" i="2"/>
  <c r="N19" i="2"/>
  <c r="O19" i="2" l="1"/>
  <c r="N20" i="2"/>
  <c r="C19" i="2"/>
  <c r="O20" i="2" l="1"/>
  <c r="N21" i="2"/>
  <c r="C20" i="2"/>
  <c r="O21" i="2" l="1"/>
  <c r="C21" i="2"/>
  <c r="N22" i="2"/>
  <c r="O22" i="2" l="1"/>
  <c r="N23" i="2"/>
  <c r="C22" i="2"/>
  <c r="O23" i="2" l="1"/>
  <c r="N24" i="2"/>
  <c r="C23" i="2"/>
  <c r="O24" i="2" l="1"/>
  <c r="N25" i="2"/>
  <c r="C24" i="2"/>
  <c r="O25" i="2" l="1"/>
  <c r="C25" i="2"/>
  <c r="N26" i="2"/>
  <c r="O26" i="2" l="1"/>
  <c r="N27" i="2"/>
  <c r="C26" i="2"/>
  <c r="O27" i="2" l="1"/>
  <c r="N28" i="2"/>
  <c r="C27" i="2"/>
  <c r="O28" i="2" l="1"/>
  <c r="N29" i="2"/>
  <c r="C28" i="2"/>
  <c r="O29" i="2" l="1"/>
  <c r="C29" i="2"/>
  <c r="N30" i="2"/>
  <c r="O30" i="2" l="1"/>
  <c r="N31" i="2"/>
  <c r="C30" i="2"/>
  <c r="O31" i="2" l="1"/>
  <c r="N32" i="2"/>
  <c r="C31" i="2"/>
  <c r="O32" i="2" l="1"/>
  <c r="C32" i="2"/>
  <c r="N33" i="2"/>
  <c r="O33" i="2" l="1"/>
  <c r="N34" i="2"/>
  <c r="C33" i="2"/>
  <c r="O34" i="2" l="1"/>
  <c r="N35" i="2"/>
  <c r="C34" i="2"/>
  <c r="O35" i="2" l="1"/>
  <c r="N36" i="2"/>
  <c r="C35" i="2"/>
  <c r="O36" i="2" l="1"/>
  <c r="N37" i="2"/>
  <c r="C36" i="2"/>
  <c r="O37" i="2" l="1"/>
  <c r="N38" i="2"/>
  <c r="C37" i="2"/>
  <c r="O38" i="2" l="1"/>
  <c r="N39" i="2"/>
  <c r="C38" i="2"/>
  <c r="O39" i="2" l="1"/>
  <c r="N40" i="2"/>
  <c r="C39" i="2"/>
  <c r="O40" i="2" l="1"/>
  <c r="C40" i="2"/>
  <c r="N41" i="2"/>
  <c r="O41" i="2" l="1"/>
  <c r="N42" i="2"/>
  <c r="C41" i="2"/>
  <c r="O42" i="2" l="1"/>
  <c r="N43" i="2"/>
  <c r="C42" i="2"/>
  <c r="O43" i="2" l="1"/>
  <c r="N44" i="2"/>
  <c r="C43" i="2"/>
  <c r="O44" i="2" l="1"/>
  <c r="N45" i="2"/>
  <c r="C44" i="2"/>
  <c r="O45" i="2" l="1"/>
  <c r="C45" i="2"/>
  <c r="N46" i="2"/>
  <c r="O46" i="2" l="1"/>
  <c r="N47" i="2"/>
  <c r="C46" i="2"/>
  <c r="O47" i="2" l="1"/>
  <c r="N48" i="2"/>
  <c r="C47" i="2"/>
  <c r="O48" i="2" l="1"/>
  <c r="C48" i="2"/>
  <c r="N49" i="2"/>
  <c r="O49" i="2" l="1"/>
  <c r="C49" i="2"/>
  <c r="N50" i="2"/>
  <c r="O50" i="2" l="1"/>
  <c r="N51" i="2"/>
  <c r="C50" i="2"/>
  <c r="O51" i="2" l="1"/>
  <c r="N52" i="2"/>
  <c r="C51" i="2"/>
  <c r="O52" i="2" l="1"/>
  <c r="N53" i="2"/>
  <c r="C52" i="2"/>
  <c r="O53" i="2" l="1"/>
  <c r="N54" i="2"/>
  <c r="C53" i="2"/>
  <c r="O54" i="2" l="1"/>
  <c r="N55" i="2"/>
  <c r="C54" i="2"/>
  <c r="O55" i="2" l="1"/>
  <c r="N56" i="2"/>
  <c r="C55" i="2"/>
  <c r="O56" i="2" l="1"/>
  <c r="N57" i="2"/>
  <c r="C56" i="2"/>
  <c r="O57" i="2" l="1"/>
  <c r="C57" i="2"/>
  <c r="N58" i="2"/>
  <c r="O58" i="2" l="1"/>
  <c r="N59" i="2"/>
  <c r="C58" i="2"/>
  <c r="O59" i="2" l="1"/>
  <c r="N60" i="2"/>
  <c r="C59" i="2"/>
  <c r="O60" i="2" l="1"/>
  <c r="N61" i="2"/>
  <c r="C60" i="2"/>
  <c r="O61" i="2" l="1"/>
  <c r="C61" i="2"/>
  <c r="N62" i="2"/>
  <c r="O62" i="2" l="1"/>
  <c r="N63" i="2"/>
  <c r="C62" i="2"/>
  <c r="O63" i="2" l="1"/>
  <c r="N64" i="2"/>
  <c r="C63" i="2"/>
  <c r="O64" i="2" l="1"/>
  <c r="C64" i="2"/>
  <c r="N65" i="2"/>
  <c r="O65" i="2" l="1"/>
  <c r="C65" i="2"/>
  <c r="N66" i="2"/>
  <c r="O66" i="2" l="1"/>
  <c r="N67" i="2"/>
  <c r="C66" i="2"/>
  <c r="O67" i="2" l="1"/>
  <c r="N68" i="2"/>
  <c r="C67" i="2"/>
  <c r="O68" i="2" l="1"/>
  <c r="N69" i="2"/>
  <c r="C68" i="2"/>
  <c r="O69" i="2" l="1"/>
  <c r="N70" i="2"/>
  <c r="C69" i="2"/>
  <c r="O70" i="2" l="1"/>
  <c r="N71" i="2"/>
  <c r="C70" i="2"/>
  <c r="O71" i="2" l="1"/>
  <c r="N72" i="2"/>
  <c r="C71" i="2"/>
  <c r="O72" i="2" l="1"/>
  <c r="C72" i="2"/>
  <c r="N73" i="2"/>
  <c r="O73" i="2" l="1"/>
  <c r="C73" i="2"/>
  <c r="N74" i="2"/>
  <c r="O74" i="2" l="1"/>
  <c r="N75" i="2"/>
  <c r="C74" i="2"/>
  <c r="O75" i="2" l="1"/>
  <c r="N76" i="2"/>
  <c r="C75" i="2"/>
  <c r="O76" i="2" l="1"/>
  <c r="N77" i="2"/>
  <c r="C76" i="2"/>
  <c r="O77" i="2" l="1"/>
  <c r="N78" i="2"/>
  <c r="C77" i="2"/>
  <c r="O78" i="2" l="1"/>
  <c r="N79" i="2"/>
  <c r="C78" i="2"/>
  <c r="O79" i="2" l="1"/>
  <c r="N80" i="2"/>
  <c r="C79" i="2"/>
  <c r="O80" i="2" l="1"/>
  <c r="C80" i="2"/>
  <c r="N81" i="2"/>
  <c r="O81" i="2" l="1"/>
  <c r="C81" i="2"/>
  <c r="N82" i="2"/>
  <c r="O82" i="2" l="1"/>
  <c r="N83" i="2"/>
  <c r="C82" i="2"/>
  <c r="O83" i="2" l="1"/>
  <c r="N84" i="2"/>
  <c r="C83" i="2"/>
  <c r="O84" i="2" l="1"/>
  <c r="C84" i="2"/>
  <c r="N85" i="2"/>
  <c r="O85" i="2" l="1"/>
  <c r="C85" i="2"/>
  <c r="N86" i="2"/>
  <c r="O86" i="2" l="1"/>
  <c r="N87" i="2"/>
  <c r="C86" i="2"/>
  <c r="O87" i="2" l="1"/>
  <c r="N88" i="2"/>
  <c r="C87" i="2"/>
  <c r="O88" i="2" l="1"/>
  <c r="N89" i="2"/>
  <c r="C88" i="2"/>
  <c r="O89" i="2" l="1"/>
  <c r="C89" i="2"/>
  <c r="N90" i="2"/>
  <c r="O90" i="2" l="1"/>
  <c r="N91" i="2"/>
  <c r="C90" i="2"/>
  <c r="O91" i="2" l="1"/>
  <c r="N92" i="2"/>
  <c r="C91" i="2"/>
  <c r="O92" i="2" l="1"/>
  <c r="N93" i="2"/>
  <c r="C92" i="2"/>
  <c r="O93" i="2" l="1"/>
  <c r="N94" i="2"/>
  <c r="C93" i="2"/>
  <c r="O94" i="2" l="1"/>
  <c r="N95" i="2"/>
  <c r="C94" i="2"/>
  <c r="O95" i="2" l="1"/>
  <c r="N96" i="2"/>
  <c r="C95" i="2"/>
  <c r="O96" i="2" l="1"/>
  <c r="C96" i="2"/>
  <c r="N97" i="2"/>
  <c r="O97" i="2" l="1"/>
  <c r="N98" i="2"/>
  <c r="C97" i="2"/>
  <c r="O98" i="2" l="1"/>
  <c r="N99" i="2"/>
  <c r="C98" i="2"/>
  <c r="O99" i="2" l="1"/>
  <c r="N100" i="2"/>
  <c r="C99" i="2"/>
  <c r="O100" i="2" l="1"/>
  <c r="N101" i="2"/>
  <c r="C100" i="2"/>
  <c r="O101" i="2" l="1"/>
  <c r="C101" i="2"/>
  <c r="N102" i="2"/>
  <c r="O102" i="2" l="1"/>
  <c r="N103" i="2"/>
  <c r="C102" i="2"/>
  <c r="O103" i="2" l="1"/>
  <c r="N104" i="2"/>
  <c r="C103" i="2"/>
  <c r="O104" i="2" l="1"/>
  <c r="C104" i="2"/>
  <c r="N105" i="2"/>
  <c r="O105" i="2" l="1"/>
  <c r="C105" i="2"/>
  <c r="N106" i="2"/>
  <c r="O106" i="2" l="1"/>
  <c r="N107" i="2"/>
  <c r="C106" i="2"/>
  <c r="O107" i="2" l="1"/>
  <c r="N108" i="2"/>
  <c r="C107" i="2"/>
  <c r="O108" i="2" l="1"/>
  <c r="N109" i="2"/>
  <c r="C108" i="2"/>
  <c r="O109" i="2" l="1"/>
  <c r="C109" i="2"/>
  <c r="N110" i="2"/>
  <c r="O110" i="2" l="1"/>
  <c r="N111" i="2"/>
  <c r="C110" i="2"/>
  <c r="O111" i="2" l="1"/>
  <c r="N112" i="2"/>
  <c r="C111" i="2"/>
  <c r="O112" i="2" l="1"/>
  <c r="C112" i="2"/>
  <c r="N113" i="2"/>
  <c r="O113" i="2" l="1"/>
  <c r="C113" i="2"/>
  <c r="N114" i="2"/>
  <c r="O114" i="2" l="1"/>
  <c r="N115" i="2"/>
  <c r="C114" i="2"/>
  <c r="O115" i="2" l="1"/>
  <c r="N116" i="2"/>
  <c r="C115" i="2"/>
  <c r="O116" i="2" l="1"/>
  <c r="N117" i="2"/>
  <c r="C116" i="2"/>
  <c r="O117" i="2" l="1"/>
  <c r="N118" i="2"/>
  <c r="C117" i="2"/>
  <c r="O118" i="2" l="1"/>
  <c r="N119" i="2"/>
  <c r="C118" i="2"/>
  <c r="O119" i="2" l="1"/>
  <c r="N120" i="2"/>
  <c r="C119" i="2"/>
  <c r="O120" i="2" l="1"/>
  <c r="N121" i="2"/>
  <c r="C120" i="2"/>
  <c r="O121" i="2" l="1"/>
  <c r="C121" i="2"/>
  <c r="N122" i="2"/>
  <c r="O122" i="2" l="1"/>
  <c r="N123" i="2"/>
  <c r="C122" i="2"/>
  <c r="O123" i="2" l="1"/>
  <c r="N124" i="2"/>
  <c r="C123" i="2"/>
  <c r="O124" i="2" l="1"/>
  <c r="N125" i="2"/>
  <c r="C124" i="2"/>
  <c r="O125" i="2" l="1"/>
  <c r="C125" i="2"/>
  <c r="N126" i="2"/>
  <c r="O126" i="2" l="1"/>
  <c r="N127" i="2"/>
  <c r="C126" i="2"/>
  <c r="O127" i="2" l="1"/>
  <c r="N128" i="2"/>
  <c r="C127" i="2"/>
  <c r="O128" i="2" l="1"/>
  <c r="C128" i="2"/>
  <c r="N129" i="2"/>
  <c r="O129" i="2" l="1"/>
  <c r="C129" i="2"/>
  <c r="N130" i="2"/>
  <c r="O130" i="2" l="1"/>
  <c r="N131" i="2"/>
  <c r="C130" i="2"/>
  <c r="O131" i="2" l="1"/>
  <c r="N132" i="2"/>
  <c r="C131" i="2"/>
  <c r="O132" i="2" l="1"/>
  <c r="N133" i="2"/>
  <c r="C132" i="2"/>
  <c r="O133" i="2" l="1"/>
  <c r="C133" i="2"/>
  <c r="N134" i="2"/>
  <c r="O134" i="2" l="1"/>
  <c r="N135" i="2"/>
  <c r="C134" i="2"/>
  <c r="O135" i="2" l="1"/>
  <c r="N136" i="2"/>
  <c r="C135" i="2"/>
  <c r="O136" i="2" l="1"/>
  <c r="C136" i="2"/>
  <c r="N137" i="2"/>
  <c r="O137" i="2" l="1"/>
  <c r="C137" i="2"/>
  <c r="N138" i="2"/>
  <c r="O138" i="2" l="1"/>
  <c r="N139" i="2"/>
  <c r="C138" i="2"/>
  <c r="O139" i="2" l="1"/>
  <c r="N140" i="2"/>
  <c r="C139" i="2"/>
  <c r="O140" i="2" l="1"/>
  <c r="N141" i="2"/>
  <c r="C140" i="2"/>
  <c r="O141" i="2" l="1"/>
  <c r="N142" i="2"/>
  <c r="C141" i="2"/>
  <c r="O142" i="2" l="1"/>
  <c r="N143" i="2"/>
  <c r="C142" i="2"/>
  <c r="O143" i="2" l="1"/>
  <c r="N144" i="2"/>
  <c r="C143" i="2"/>
  <c r="O144" i="2" l="1"/>
  <c r="C144" i="2"/>
  <c r="N145" i="2"/>
  <c r="O145" i="2" l="1"/>
  <c r="C145" i="2"/>
  <c r="N146" i="2"/>
  <c r="O146" i="2" l="1"/>
  <c r="N147" i="2"/>
  <c r="C146" i="2"/>
  <c r="O147" i="2" l="1"/>
  <c r="N148" i="2"/>
  <c r="C147" i="2"/>
  <c r="O148" i="2" l="1"/>
  <c r="N149" i="2"/>
  <c r="C148" i="2"/>
  <c r="O149" i="2" l="1"/>
  <c r="N150" i="2"/>
  <c r="C149" i="2"/>
  <c r="O150" i="2" l="1"/>
  <c r="N151" i="2"/>
  <c r="C150" i="2"/>
  <c r="O151" i="2" l="1"/>
  <c r="N152" i="2"/>
  <c r="C151" i="2"/>
  <c r="O152" i="2" l="1"/>
  <c r="N153" i="2"/>
  <c r="C152" i="2"/>
  <c r="O153" i="2" l="1"/>
  <c r="C153" i="2"/>
  <c r="N154" i="2"/>
  <c r="O154" i="2" l="1"/>
  <c r="N155" i="2"/>
  <c r="C154" i="2"/>
  <c r="O155" i="2" l="1"/>
  <c r="N156" i="2"/>
  <c r="C155" i="2"/>
  <c r="O156" i="2" l="1"/>
  <c r="N157" i="2"/>
  <c r="C156" i="2"/>
  <c r="O157" i="2" l="1"/>
  <c r="C157" i="2"/>
  <c r="N158" i="2"/>
  <c r="O158" i="2" l="1"/>
  <c r="N159" i="2"/>
  <c r="C158" i="2"/>
  <c r="O159" i="2" l="1"/>
  <c r="N160" i="2"/>
  <c r="C159" i="2"/>
  <c r="O160" i="2" l="1"/>
  <c r="N161" i="2"/>
  <c r="C160" i="2"/>
  <c r="O161" i="2" l="1"/>
  <c r="C161" i="2"/>
  <c r="N162" i="2"/>
  <c r="O162" i="2" l="1"/>
  <c r="N163" i="2"/>
  <c r="C162" i="2"/>
  <c r="O163" i="2" l="1"/>
  <c r="N164" i="2"/>
  <c r="C163" i="2"/>
  <c r="O164" i="2" l="1"/>
  <c r="N165" i="2"/>
  <c r="C164" i="2"/>
  <c r="O165" i="2" l="1"/>
  <c r="C165" i="2"/>
  <c r="N166" i="2"/>
  <c r="O166" i="2" l="1"/>
  <c r="N167" i="2"/>
  <c r="C166" i="2"/>
  <c r="O167" i="2" l="1"/>
  <c r="N168" i="2"/>
  <c r="C167" i="2"/>
  <c r="O168" i="2" l="1"/>
  <c r="C168" i="2"/>
  <c r="N169" i="2"/>
  <c r="O169" i="2" l="1"/>
  <c r="C169" i="2"/>
  <c r="N170" i="2"/>
  <c r="O170" i="2" l="1"/>
  <c r="N171" i="2"/>
  <c r="C170" i="2"/>
  <c r="O171" i="2" l="1"/>
  <c r="N172" i="2"/>
  <c r="C171" i="2"/>
  <c r="O172" i="2" l="1"/>
  <c r="N173" i="2"/>
  <c r="C172" i="2"/>
  <c r="O173" i="2" l="1"/>
  <c r="N174" i="2"/>
  <c r="C173" i="2"/>
  <c r="O174" i="2" l="1"/>
  <c r="N175" i="2"/>
  <c r="C174" i="2"/>
  <c r="O175" i="2" l="1"/>
  <c r="N176" i="2"/>
  <c r="C175" i="2"/>
  <c r="O176" i="2" l="1"/>
  <c r="N177" i="2"/>
  <c r="C176" i="2"/>
  <c r="O177" i="2" l="1"/>
  <c r="C177" i="2"/>
  <c r="N178" i="2"/>
  <c r="O178" i="2" l="1"/>
  <c r="N179" i="2"/>
  <c r="C178" i="2"/>
  <c r="O179" i="2" l="1"/>
  <c r="N180" i="2"/>
  <c r="C179" i="2"/>
  <c r="O180" i="2" l="1"/>
  <c r="N181" i="2"/>
  <c r="C180" i="2"/>
  <c r="O181" i="2" l="1"/>
  <c r="N182" i="2"/>
  <c r="C181" i="2"/>
  <c r="O182" i="2" l="1"/>
  <c r="N183" i="2"/>
  <c r="C182" i="2"/>
  <c r="O183" i="2" l="1"/>
  <c r="N184" i="2"/>
  <c r="C183" i="2"/>
  <c r="O184" i="2" l="1"/>
  <c r="N185" i="2"/>
  <c r="C184" i="2"/>
  <c r="O185" i="2" l="1"/>
  <c r="C185" i="2"/>
  <c r="N186" i="2"/>
  <c r="O186" i="2" l="1"/>
  <c r="N187" i="2"/>
  <c r="C186" i="2"/>
  <c r="O187" i="2" l="1"/>
  <c r="N188" i="2"/>
  <c r="C187" i="2"/>
  <c r="O188" i="2" l="1"/>
  <c r="N189" i="2"/>
  <c r="C188" i="2"/>
  <c r="O189" i="2" l="1"/>
  <c r="N190" i="2"/>
  <c r="C189" i="2"/>
  <c r="O190" i="2" l="1"/>
  <c r="N191" i="2"/>
  <c r="C190" i="2"/>
  <c r="O191" i="2" l="1"/>
  <c r="N192" i="2"/>
  <c r="C191" i="2"/>
  <c r="O192" i="2" l="1"/>
  <c r="N193" i="2"/>
  <c r="C192" i="2"/>
  <c r="O193" i="2" l="1"/>
  <c r="N194" i="2"/>
  <c r="C193" i="2"/>
  <c r="O194" i="2" l="1"/>
  <c r="N195" i="2"/>
  <c r="C194" i="2"/>
  <c r="O195" i="2" l="1"/>
  <c r="N196" i="2"/>
  <c r="C195" i="2"/>
  <c r="O196" i="2" l="1"/>
  <c r="N197" i="2"/>
  <c r="C196" i="2"/>
  <c r="O197" i="2" l="1"/>
  <c r="N198" i="2"/>
  <c r="C197" i="2"/>
  <c r="O198" i="2" l="1"/>
  <c r="N199" i="2"/>
  <c r="C198" i="2"/>
  <c r="O199" i="2" l="1"/>
  <c r="N200" i="2"/>
  <c r="C199" i="2"/>
  <c r="O200" i="2" l="1"/>
  <c r="C200" i="2"/>
  <c r="N201" i="2"/>
  <c r="O201" i="2" l="1"/>
  <c r="C201" i="2"/>
  <c r="N202" i="2"/>
  <c r="O202" i="2" l="1"/>
  <c r="N203" i="2"/>
  <c r="C202" i="2"/>
  <c r="O203" i="2" l="1"/>
  <c r="N204" i="2"/>
  <c r="C203" i="2"/>
  <c r="O204" i="2" l="1"/>
  <c r="N205" i="2"/>
  <c r="C204" i="2"/>
  <c r="O205" i="2" l="1"/>
  <c r="N206" i="2"/>
  <c r="C205" i="2"/>
  <c r="O206" i="2" l="1"/>
  <c r="N207" i="2"/>
  <c r="C206" i="2"/>
  <c r="O207" i="2" l="1"/>
  <c r="N208" i="2"/>
  <c r="C207" i="2"/>
  <c r="O208" i="2" l="1"/>
  <c r="N209" i="2"/>
  <c r="C208" i="2"/>
  <c r="O209" i="2" l="1"/>
  <c r="C209" i="2"/>
  <c r="N210" i="2"/>
  <c r="O210" i="2" l="1"/>
  <c r="N211" i="2"/>
  <c r="C210" i="2"/>
  <c r="O211" i="2" l="1"/>
  <c r="N212" i="2"/>
  <c r="C211" i="2"/>
  <c r="O212" i="2" l="1"/>
  <c r="N213" i="2"/>
  <c r="C212" i="2"/>
  <c r="O213" i="2" l="1"/>
  <c r="C213" i="2"/>
  <c r="N214" i="2"/>
  <c r="O214" i="2" l="1"/>
  <c r="N215" i="2"/>
  <c r="C214" i="2"/>
  <c r="O215" i="2" l="1"/>
  <c r="N216" i="2"/>
  <c r="C215" i="2"/>
  <c r="O216" i="2" l="1"/>
  <c r="N217" i="2"/>
  <c r="C216" i="2"/>
  <c r="O217" i="2" l="1"/>
  <c r="C217" i="2"/>
  <c r="N218" i="2"/>
  <c r="O218" i="2" l="1"/>
  <c r="N219" i="2"/>
  <c r="C218" i="2"/>
  <c r="O219" i="2" l="1"/>
  <c r="N220" i="2"/>
  <c r="C219" i="2"/>
  <c r="O220" i="2" l="1"/>
  <c r="N221" i="2"/>
  <c r="C220" i="2"/>
  <c r="O221" i="2" l="1"/>
  <c r="N222" i="2"/>
  <c r="C221" i="2"/>
  <c r="O222" i="2" l="1"/>
  <c r="N223" i="2"/>
  <c r="C222" i="2"/>
  <c r="O223" i="2" l="1"/>
  <c r="N224" i="2"/>
  <c r="C223" i="2"/>
  <c r="O224" i="2" l="1"/>
  <c r="C224" i="2"/>
  <c r="N225" i="2"/>
  <c r="O225" i="2" l="1"/>
  <c r="C225" i="2"/>
  <c r="N226" i="2"/>
  <c r="O226" i="2" l="1"/>
  <c r="N227" i="2"/>
  <c r="C226" i="2"/>
  <c r="O227" i="2" l="1"/>
  <c r="N228" i="2"/>
  <c r="C227" i="2"/>
  <c r="O228" i="2" l="1"/>
  <c r="N229" i="2"/>
  <c r="C228" i="2"/>
  <c r="O229" i="2" l="1"/>
  <c r="C229" i="2"/>
  <c r="N230" i="2"/>
  <c r="O230" i="2" l="1"/>
  <c r="N231" i="2"/>
  <c r="C230" i="2"/>
  <c r="O231" i="2" l="1"/>
  <c r="N232" i="2"/>
  <c r="C231" i="2"/>
  <c r="O232" i="2" l="1"/>
  <c r="C232" i="2"/>
  <c r="N233" i="2"/>
  <c r="O233" i="2" l="1"/>
  <c r="C233" i="2"/>
  <c r="N234" i="2"/>
  <c r="O234" i="2" l="1"/>
  <c r="N235" i="2"/>
  <c r="C234" i="2"/>
  <c r="O235" i="2" l="1"/>
  <c r="N236" i="2"/>
  <c r="C235" i="2"/>
  <c r="O236" i="2" l="1"/>
  <c r="N237" i="2"/>
  <c r="C236" i="2"/>
  <c r="O237" i="2" l="1"/>
  <c r="C237" i="2"/>
  <c r="N238" i="2"/>
  <c r="O238" i="2" l="1"/>
  <c r="N239" i="2"/>
  <c r="C238" i="2"/>
  <c r="O239" i="2" l="1"/>
  <c r="N240" i="2"/>
  <c r="C239" i="2"/>
  <c r="O240" i="2" l="1"/>
  <c r="C240" i="2"/>
  <c r="N241" i="2"/>
  <c r="O241" i="2" l="1"/>
  <c r="C241" i="2"/>
  <c r="N242" i="2"/>
  <c r="O242" i="2" l="1"/>
  <c r="N243" i="2"/>
  <c r="C242" i="2"/>
  <c r="O243" i="2" l="1"/>
  <c r="N244" i="2"/>
  <c r="C243" i="2"/>
  <c r="O244" i="2" l="1"/>
  <c r="N245" i="2"/>
  <c r="C244" i="2"/>
  <c r="O245" i="2" l="1"/>
  <c r="N246" i="2"/>
  <c r="C245" i="2"/>
  <c r="O246" i="2" l="1"/>
  <c r="N247" i="2"/>
  <c r="C246" i="2"/>
  <c r="O247" i="2" l="1"/>
  <c r="N248" i="2"/>
  <c r="C247" i="2"/>
  <c r="O248" i="2" l="1"/>
  <c r="N249" i="2"/>
  <c r="C248" i="2"/>
  <c r="O249" i="2" l="1"/>
  <c r="N250" i="2"/>
  <c r="C249" i="2"/>
  <c r="O250" i="2" l="1"/>
  <c r="N251" i="2"/>
  <c r="C250" i="2"/>
  <c r="O251" i="2" l="1"/>
  <c r="N252" i="2"/>
  <c r="C251" i="2"/>
  <c r="O252" i="2" l="1"/>
  <c r="N253" i="2"/>
  <c r="C252" i="2"/>
  <c r="O253" i="2" l="1"/>
  <c r="C253" i="2"/>
  <c r="N254" i="2"/>
  <c r="O254" i="2" l="1"/>
  <c r="N255" i="2"/>
  <c r="C254" i="2"/>
  <c r="O255" i="2" l="1"/>
  <c r="N256" i="2"/>
  <c r="C255" i="2"/>
  <c r="O256" i="2" l="1"/>
  <c r="C256" i="2"/>
  <c r="N257" i="2"/>
  <c r="O257" i="2" l="1"/>
  <c r="C257" i="2"/>
  <c r="N258" i="2"/>
  <c r="O258" i="2" l="1"/>
  <c r="N259" i="2"/>
  <c r="C258" i="2"/>
  <c r="O259" i="2" l="1"/>
  <c r="N260" i="2"/>
  <c r="C259" i="2"/>
  <c r="O260" i="2" l="1"/>
  <c r="N261" i="2"/>
  <c r="C260" i="2"/>
  <c r="O261" i="2" l="1"/>
  <c r="C261" i="2"/>
  <c r="N262" i="2"/>
  <c r="O262" i="2" l="1"/>
  <c r="N263" i="2"/>
  <c r="C262" i="2"/>
  <c r="O263" i="2" l="1"/>
  <c r="N264" i="2"/>
  <c r="C263" i="2"/>
  <c r="O264" i="2" l="1"/>
  <c r="C264" i="2"/>
  <c r="N265" i="2"/>
  <c r="O265" i="2" l="1"/>
  <c r="C265" i="2"/>
  <c r="N266" i="2"/>
  <c r="O266" i="2" l="1"/>
  <c r="N267" i="2"/>
  <c r="C266" i="2"/>
  <c r="O267" i="2" l="1"/>
  <c r="N268" i="2"/>
  <c r="C267" i="2"/>
  <c r="O268" i="2" l="1"/>
  <c r="N269" i="2"/>
  <c r="C268" i="2"/>
  <c r="O269" i="2" l="1"/>
  <c r="C269" i="2"/>
  <c r="N270" i="2"/>
  <c r="O270" i="2" l="1"/>
  <c r="N271" i="2"/>
  <c r="C270" i="2"/>
  <c r="O271" i="2" l="1"/>
  <c r="N272" i="2"/>
  <c r="C271" i="2"/>
  <c r="O272" i="2" l="1"/>
  <c r="C272" i="2"/>
  <c r="N273" i="2"/>
  <c r="O273" i="2" l="1"/>
  <c r="C273" i="2"/>
  <c r="N274" i="2"/>
  <c r="O274" i="2" l="1"/>
  <c r="N275" i="2"/>
  <c r="C274" i="2"/>
  <c r="O275" i="2" l="1"/>
  <c r="N276" i="2"/>
  <c r="C275" i="2"/>
  <c r="O276" i="2" l="1"/>
  <c r="N277" i="2"/>
  <c r="C276" i="2"/>
  <c r="O277" i="2" l="1"/>
  <c r="N278" i="2"/>
  <c r="C277" i="2"/>
  <c r="O278" i="2" l="1"/>
  <c r="N279" i="2"/>
  <c r="C278" i="2"/>
  <c r="O279" i="2" l="1"/>
  <c r="N280" i="2"/>
  <c r="C279" i="2"/>
  <c r="O280" i="2" l="1"/>
  <c r="C280" i="2"/>
  <c r="N281" i="2"/>
  <c r="O281" i="2" l="1"/>
  <c r="C281" i="2"/>
  <c r="N282" i="2"/>
  <c r="O282" i="2" l="1"/>
  <c r="N283" i="2"/>
  <c r="C282" i="2"/>
  <c r="O283" i="2" l="1"/>
  <c r="N284" i="2"/>
  <c r="C283" i="2"/>
  <c r="O284" i="2" l="1"/>
  <c r="N285" i="2"/>
  <c r="C284" i="2"/>
  <c r="O285" i="2" l="1"/>
  <c r="C285" i="2"/>
  <c r="N286" i="2"/>
  <c r="O286" i="2" l="1"/>
  <c r="N287" i="2"/>
  <c r="C286" i="2"/>
  <c r="O287" i="2" l="1"/>
  <c r="N288" i="2"/>
  <c r="C287" i="2"/>
  <c r="O288" i="2" l="1"/>
  <c r="C288" i="2"/>
  <c r="N289" i="2"/>
  <c r="O289" i="2" l="1"/>
  <c r="C289" i="2"/>
  <c r="N290" i="2"/>
  <c r="O290" i="2" l="1"/>
  <c r="N291" i="2"/>
  <c r="C290" i="2"/>
  <c r="O291" i="2" l="1"/>
  <c r="N292" i="2"/>
  <c r="C291" i="2"/>
  <c r="O292" i="2" l="1"/>
  <c r="N293" i="2"/>
  <c r="C292" i="2"/>
  <c r="O293" i="2" l="1"/>
  <c r="C293" i="2"/>
  <c r="N294" i="2"/>
  <c r="O294" i="2" l="1"/>
  <c r="N295" i="2"/>
  <c r="C294" i="2"/>
  <c r="O295" i="2" l="1"/>
  <c r="N296" i="2"/>
  <c r="C295" i="2"/>
  <c r="O296" i="2" l="1"/>
  <c r="C296" i="2"/>
  <c r="N297" i="2"/>
  <c r="O297" i="2" l="1"/>
  <c r="C297" i="2"/>
  <c r="N298" i="2"/>
  <c r="O298" i="2" l="1"/>
  <c r="N299" i="2"/>
  <c r="C298" i="2"/>
  <c r="O299" i="2" l="1"/>
  <c r="N300" i="2"/>
  <c r="C299" i="2"/>
  <c r="O300" i="2" l="1"/>
  <c r="C300" i="2"/>
  <c r="O301" i="2" l="1"/>
  <c r="N301" i="2"/>
  <c r="C301" i="2"/>
</calcChain>
</file>

<file path=xl/sharedStrings.xml><?xml version="1.0" encoding="utf-8"?>
<sst xmlns="http://schemas.openxmlformats.org/spreadsheetml/2006/main" count="1617" uniqueCount="270">
  <si>
    <t>Order ID</t>
  </si>
  <si>
    <t>Date</t>
  </si>
  <si>
    <t>Month</t>
  </si>
  <si>
    <t>Salesperson</t>
  </si>
  <si>
    <t>Region</t>
  </si>
  <si>
    <t>Customer</t>
  </si>
  <si>
    <t>Customer Type</t>
  </si>
  <si>
    <t>Product Category</t>
  </si>
  <si>
    <t>Product</t>
  </si>
  <si>
    <t>Quantity</t>
  </si>
  <si>
    <t>Unit Price</t>
  </si>
  <si>
    <t>Discount%</t>
  </si>
  <si>
    <t>Payment Method</t>
  </si>
  <si>
    <t>North</t>
  </si>
  <si>
    <t>South</t>
  </si>
  <si>
    <t>East</t>
  </si>
  <si>
    <t>West</t>
  </si>
  <si>
    <t>John</t>
  </si>
  <si>
    <t>Anna</t>
  </si>
  <si>
    <t>Mark</t>
  </si>
  <si>
    <t>Jane</t>
  </si>
  <si>
    <t>David</t>
  </si>
  <si>
    <t>Peter</t>
  </si>
  <si>
    <t>Sarah</t>
  </si>
  <si>
    <t>Kevin</t>
  </si>
  <si>
    <t>Michael</t>
  </si>
  <si>
    <t>Sophia</t>
  </si>
  <si>
    <t>Daniel</t>
  </si>
  <si>
    <t>Grace</t>
  </si>
  <si>
    <t>Retail</t>
  </si>
  <si>
    <t>Corporate</t>
  </si>
  <si>
    <t>Government</t>
  </si>
  <si>
    <t>Cash</t>
  </si>
  <si>
    <t>Credit Card</t>
  </si>
  <si>
    <t>Bank Transfer</t>
  </si>
  <si>
    <t>Gcash</t>
  </si>
  <si>
    <t>Electronics</t>
  </si>
  <si>
    <t>Laptop</t>
  </si>
  <si>
    <t>Monitor</t>
  </si>
  <si>
    <t>Projector</t>
  </si>
  <si>
    <t>Keyboard</t>
  </si>
  <si>
    <t>Mouse</t>
  </si>
  <si>
    <t>Furniture</t>
  </si>
  <si>
    <t>Office Chair</t>
  </si>
  <si>
    <t>Desk</t>
  </si>
  <si>
    <t>Cabinet</t>
  </si>
  <si>
    <t>Shelf</t>
  </si>
  <si>
    <t>Table</t>
  </si>
  <si>
    <t>Office Supplies</t>
  </si>
  <si>
    <t>Notebook</t>
  </si>
  <si>
    <t>Bond Paper</t>
  </si>
  <si>
    <t>Marker</t>
  </si>
  <si>
    <t>Ballpen</t>
  </si>
  <si>
    <t>Envelope</t>
  </si>
  <si>
    <t>Stapler</t>
  </si>
  <si>
    <t>Folder</t>
  </si>
  <si>
    <t>Scissors</t>
  </si>
  <si>
    <t>Printer</t>
  </si>
  <si>
    <t>MASTER LOOKUP TABLES</t>
  </si>
  <si>
    <t xml:space="preserve">PRODUCT MASTER </t>
  </si>
  <si>
    <t>Discount</t>
  </si>
  <si>
    <t xml:space="preserve">CUSTOMER MASTER </t>
  </si>
  <si>
    <t>ABC Corporation</t>
  </si>
  <si>
    <t>XYZ Trading</t>
  </si>
  <si>
    <t>Sunrise Retail</t>
  </si>
  <si>
    <t>Prime Office Supply</t>
  </si>
  <si>
    <t>Metro Electronics</t>
  </si>
  <si>
    <t>Green Valley School</t>
  </si>
  <si>
    <t>City Government</t>
  </si>
  <si>
    <t>Tech Solutions Inc.</t>
  </si>
  <si>
    <t>Golden Hardware</t>
  </si>
  <si>
    <t>North Star Trading</t>
  </si>
  <si>
    <t>Bright Future Academy</t>
  </si>
  <si>
    <t>Apex Manufacturing</t>
  </si>
  <si>
    <t>Central Pharmacy</t>
  </si>
  <si>
    <t>Mega Builders</t>
  </si>
  <si>
    <t>Pacific Foods</t>
  </si>
  <si>
    <t>Global Logistics</t>
  </si>
  <si>
    <t>Silverline Stores</t>
  </si>
  <si>
    <t>Horizon Enterprises</t>
  </si>
  <si>
    <t>Elite Medical Center</t>
  </si>
  <si>
    <t>United Cooperative</t>
  </si>
  <si>
    <t>Crystal Mart</t>
  </si>
  <si>
    <t>Summit Engineering</t>
  </si>
  <si>
    <t>Orion Industries</t>
  </si>
  <si>
    <t>Blue Ocean Trading</t>
  </si>
  <si>
    <t>First Choice Supplies</t>
  </si>
  <si>
    <t>Alpha Distribution</t>
  </si>
  <si>
    <t>Nova Systems</t>
  </si>
  <si>
    <t>Evergreen Supermarket</t>
  </si>
  <si>
    <t>Prestige Holdings</t>
  </si>
  <si>
    <t>Pioneer Construction</t>
  </si>
  <si>
    <t>Saleperson</t>
  </si>
  <si>
    <t>Quarter</t>
  </si>
  <si>
    <t>Year</t>
  </si>
  <si>
    <t>Gross Sales</t>
  </si>
  <si>
    <t>Discount Amount</t>
  </si>
  <si>
    <t>Net Sales</t>
  </si>
  <si>
    <t>January</t>
  </si>
  <si>
    <t>February</t>
  </si>
  <si>
    <t>March</t>
  </si>
  <si>
    <t>April</t>
  </si>
  <si>
    <t>May</t>
  </si>
  <si>
    <t>June</t>
  </si>
  <si>
    <t>July</t>
  </si>
  <si>
    <t>August</t>
  </si>
  <si>
    <t>September</t>
  </si>
  <si>
    <t>October</t>
  </si>
  <si>
    <t>November</t>
  </si>
  <si>
    <t>December</t>
  </si>
  <si>
    <t>Grand Total</t>
  </si>
  <si>
    <t>Sum of Net Sales</t>
  </si>
  <si>
    <t>Count of Order ID</t>
  </si>
  <si>
    <t>Sum of Quantity</t>
  </si>
  <si>
    <t>PRODUCT</t>
  </si>
  <si>
    <t>QUANTITY SOLD</t>
  </si>
  <si>
    <t>SUM OF NET SALES</t>
  </si>
  <si>
    <t>% Of Total Sales</t>
  </si>
  <si>
    <t>SALES BY REGION</t>
  </si>
  <si>
    <t>SALES BY MONTH</t>
  </si>
  <si>
    <t>SALESPERSON PERFORMANCE</t>
  </si>
  <si>
    <t>PRODUCT PERFORMANCE</t>
  </si>
  <si>
    <t>PRODUCT CATEGORY</t>
  </si>
  <si>
    <t>PRODUCT CATEGORY PERFORMANCE</t>
  </si>
  <si>
    <t>% of TOTAL SALES</t>
  </si>
  <si>
    <t>PAYMENT METHOD ANALYSIS</t>
  </si>
  <si>
    <t>ORDERS COUNT</t>
  </si>
  <si>
    <t>CUSTOMER TYPE</t>
  </si>
  <si>
    <t>KEY PERFORMANCE INDICATORS</t>
  </si>
  <si>
    <t>TOTAL NET SALES</t>
  </si>
  <si>
    <t>TOTAL ORDERS</t>
  </si>
  <si>
    <t>FY 2025 - Q1 2026 SALES PERFORMANCE DASHBOARD</t>
  </si>
  <si>
    <t xml:space="preserve">Note: This Pivot Table contains all the list of products, but is filtered to only </t>
  </si>
  <si>
    <t>show the Top 5 products with the highest sales on the Dashboard. To see all</t>
  </si>
  <si>
    <t>list, clear the filter but make sure to change the value filter back to Top 5 to</t>
  </si>
  <si>
    <t>not affect how the Pivot Chart is displayed on the dashboard.</t>
  </si>
  <si>
    <t>Category</t>
  </si>
  <si>
    <t>AVG. ORDER VALUE</t>
  </si>
  <si>
    <t>CUSTOMER TYPE PERFORMANCE 1</t>
  </si>
  <si>
    <t>CUSTOMER TYPE PERFORMANCE 2</t>
  </si>
  <si>
    <t>Average of Net Sales</t>
  </si>
  <si>
    <t>Orders Count</t>
  </si>
  <si>
    <t>Avg. Order Value</t>
  </si>
  <si>
    <t>SALES PERFORMANCE DASHBOARD</t>
  </si>
  <si>
    <t>Project Overview</t>
  </si>
  <si>
    <t>Dataset</t>
  </si>
  <si>
    <t>Item</t>
  </si>
  <si>
    <t>Description</t>
  </si>
  <si>
    <t>Sales Transaction Data</t>
  </si>
  <si>
    <t>January 2025 – March 2026</t>
  </si>
  <si>
    <t>Philippine Peso (₱)</t>
  </si>
  <si>
    <t>Microsoft Excel</t>
  </si>
  <si>
    <t xml:space="preserve">       Dataset</t>
  </si>
  <si>
    <t xml:space="preserve">        Number of Orders</t>
  </si>
  <si>
    <t xml:space="preserve">        Period Covered</t>
  </si>
  <si>
    <t xml:space="preserve">        Currency</t>
  </si>
  <si>
    <t xml:space="preserve">        Tool</t>
  </si>
  <si>
    <t>Dashboard Features</t>
  </si>
  <si>
    <t>Interactive KPI cards</t>
  </si>
  <si>
    <t>Monthly sales trend analysis</t>
  </si>
  <si>
    <t>Regional sales analysis</t>
  </si>
  <si>
    <t>Product category analysis</t>
  </si>
  <si>
    <t>Customer type analysis</t>
  </si>
  <si>
    <t>Top 5 product ranking</t>
  </si>
  <si>
    <t>Slicers for interactive filtering</t>
  </si>
  <si>
    <t>Date Timeline</t>
  </si>
  <si>
    <t>PivotTables and PivotCharts</t>
  </si>
  <si>
    <t>Automated KPI calculations</t>
  </si>
  <si>
    <t>Key Metrics</t>
  </si>
  <si>
    <t>Total Net Sales</t>
  </si>
  <si>
    <t>Total Orders</t>
  </si>
  <si>
    <t>Total Quantity Sold</t>
  </si>
  <si>
    <t>Average Order Value</t>
  </si>
  <si>
    <t>Excel Skills Demonstrated</t>
  </si>
  <si>
    <t>Excel Tables</t>
  </si>
  <si>
    <t>Structured References</t>
  </si>
  <si>
    <t>Data Validation</t>
  </si>
  <si>
    <t>XLOOKUP</t>
  </si>
  <si>
    <t>IF functions</t>
  </si>
  <si>
    <t>Date functions</t>
  </si>
  <si>
    <t>Calculated Columns</t>
  </si>
  <si>
    <t>PivotTables</t>
  </si>
  <si>
    <t>PivotCharts</t>
  </si>
  <si>
    <t>Slicers</t>
  </si>
  <si>
    <t>Timeline</t>
  </si>
  <si>
    <t>Conditional Formatting</t>
  </si>
  <si>
    <t>Data Analysis</t>
  </si>
  <si>
    <t>Dashboard Design</t>
  </si>
  <si>
    <t>Data Modeling</t>
  </si>
  <si>
    <t xml:space="preserve">   This is a simulated sales dataset created for learning and portfolio purposes. Customer names, transactions, and sales figures are fictional.</t>
  </si>
  <si>
    <t xml:space="preserve">  Relationship Logic</t>
  </si>
  <si>
    <t>Disclaimer</t>
  </si>
  <si>
    <t>I developed an interactive Sales Performance Dashboard using Microsoft Excel to transform raw sales transaction data into an interactive reporting and analysis tool.</t>
  </si>
  <si>
    <t>PivotTables and PivotCharts were used as the analytical foundation, while slicers and a Timeline were implemented to provide an interactive user experience.</t>
  </si>
  <si>
    <t>📊 KPI Monitoring</t>
  </si>
  <si>
    <t>The dashboard displays:</t>
  </si>
  <si>
    <r>
      <t>Total Net Sales:</t>
    </r>
    <r>
      <rPr>
        <sz val="11"/>
        <color theme="1"/>
        <rFont val="Calibri"/>
        <family val="2"/>
        <scheme val="minor"/>
      </rPr>
      <t xml:space="preserve"> ₱6,750,869.00</t>
    </r>
  </si>
  <si>
    <r>
      <t>Total Orders:</t>
    </r>
    <r>
      <rPr>
        <sz val="11"/>
        <color theme="1"/>
        <rFont val="Calibri"/>
        <family val="2"/>
        <scheme val="minor"/>
      </rPr>
      <t xml:space="preserve"> 300</t>
    </r>
  </si>
  <si>
    <r>
      <t>Quantity Sold:</t>
    </r>
    <r>
      <rPr>
        <sz val="11"/>
        <color theme="1"/>
        <rFont val="Calibri"/>
        <family val="2"/>
        <scheme val="minor"/>
      </rPr>
      <t xml:space="preserve"> 1,720</t>
    </r>
  </si>
  <si>
    <r>
      <t>Average Order Value:</t>
    </r>
    <r>
      <rPr>
        <sz val="11"/>
        <color theme="1"/>
        <rFont val="Calibri"/>
        <family val="2"/>
        <scheme val="minor"/>
      </rPr>
      <t xml:space="preserve"> ₱22,502.90</t>
    </r>
  </si>
  <si>
    <t>📈 Sales Trend</t>
  </si>
  <si>
    <t>A monthly line chart allows users to identify changes in sales performance over time.</t>
  </si>
  <si>
    <t>🌎 Regional Analysis</t>
  </si>
  <si>
    <t>Sales are compared across:</t>
  </si>
  <si>
    <t>🛒 Product Analysis</t>
  </si>
  <si>
    <r>
      <t xml:space="preserve">The dashboard identifies the </t>
    </r>
    <r>
      <rPr>
        <b/>
        <sz val="11"/>
        <color theme="1"/>
        <rFont val="Calibri"/>
        <family val="2"/>
        <scheme val="minor"/>
      </rPr>
      <t>Top 5 products by Net Sales</t>
    </r>
    <r>
      <rPr>
        <sz val="11"/>
        <color theme="1"/>
        <rFont val="Calibri"/>
        <family val="2"/>
        <scheme val="minor"/>
      </rPr>
      <t>.</t>
    </r>
  </si>
  <si>
    <t>👥 Customer Analysis</t>
  </si>
  <si>
    <t>Sales can be evaluated by:</t>
  </si>
  <si>
    <t>👨‍💼 Salesperson Analysis</t>
  </si>
  <si>
    <t>Users can compare salespeople based on:</t>
  </si>
  <si>
    <t>Order Count</t>
  </si>
  <si>
    <t>🎛️ Interactive Filtering</t>
  </si>
  <si>
    <t>The dashboard includes:</t>
  </si>
  <si>
    <t>Region slicer</t>
  </si>
  <si>
    <t>Product Category slicer</t>
  </si>
  <si>
    <t>Customer Type slicer</t>
  </si>
  <si>
    <t>Salesperson slicer</t>
  </si>
  <si>
    <t>Year Timeline</t>
  </si>
  <si>
    <t>Quarter Timeline</t>
  </si>
  <si>
    <t>Month Timeline</t>
  </si>
  <si>
    <t>Day Timeline</t>
  </si>
  <si>
    <t>The KPI cards and charts respond dynamically to these filters.</t>
  </si>
  <si>
    <t>🥇 Product Category</t>
  </si>
  <si>
    <t>₱3,581,369.00 — 53.05% of total sales</t>
  </si>
  <si>
    <t>🏆 Top Product</t>
  </si>
  <si>
    <t>₱2,277,000 — 44.19% of the Top 5 products' sales</t>
  </si>
  <si>
    <t>The other leading products were:</t>
  </si>
  <si>
    <t>1. Laptop — ₱2,277,000</t>
  </si>
  <si>
    <t>2. Table — ₱892,125</t>
  </si>
  <si>
    <t>3. Desk — ₱809,370</t>
  </si>
  <si>
    <t>4. Monitor — ₱703,500</t>
  </si>
  <si>
    <t>5. Projector — ₱470,250</t>
  </si>
  <si>
    <t>👥 Customer Type</t>
  </si>
  <si>
    <t>Retail customers generated:</t>
  </si>
  <si>
    <t>₱4,881,738 — 72.31% of total sales</t>
  </si>
  <si>
    <t>🌎 Regional Performance</t>
  </si>
  <si>
    <t>It was followed by:</t>
  </si>
  <si>
    <t>North — ₱1,568,227.20</t>
  </si>
  <si>
    <t>West — ₱1,411,861.50</t>
  </si>
  <si>
    <t>East — ₱777,674.00</t>
  </si>
  <si>
    <t>👨‍💼 Salesperson Performance</t>
  </si>
  <si>
    <t>₱867,077.30 across 51 orders</t>
  </si>
  <si>
    <t>This is an excellent example of why looking at only total sales isn't enough.</t>
  </si>
  <si>
    <t>1. Strengthen the Electronics category</t>
  </si>
  <si>
    <t>Electronics contributes more than half of total sales. The company could prioritize inventory, promotions, and cross-selling around high-performing electronics products.</t>
  </si>
  <si>
    <t>2. Investigate the East region</t>
  </si>
  <si>
    <t>East generated considerably less revenue than the other regions. Management could investigate customer demand, salesperson performance, product availability, and marketing coverage in this region.</t>
  </si>
  <si>
    <t>3. Protect the Retail customer base</t>
  </si>
  <si>
    <t>Since Retail contributes more than 70% of sales, maintaining customer retention and satisfaction in this segment should be a priority.</t>
  </si>
  <si>
    <t>4. Analyze high-AOV sales strategies</t>
  </si>
  <si>
    <t>Kevin's high Average Order Value could provide useful information about successful selling techniques, product combinations, or customer segments that could potentially be replicated by other salespeople.</t>
  </si>
  <si>
    <t>5. Monitor dependence on top products</t>
  </si>
  <si>
    <t>Because the Top 5 products account for roughly three-quarters of sales, the business should monitor inventory availability and avoid excessive dependence on a small number of products.</t>
  </si>
  <si>
    <r>
      <t xml:space="preserve">The workbook analyzes </t>
    </r>
    <r>
      <rPr>
        <b/>
        <sz val="11"/>
        <color rgb="FF000000"/>
        <rFont val="Calibri"/>
        <family val="2"/>
        <scheme val="minor"/>
      </rPr>
      <t>300 sales transactions</t>
    </r>
    <r>
      <rPr>
        <sz val="11"/>
        <color rgb="FF000000"/>
        <rFont val="Calibri"/>
        <family val="2"/>
        <scheme val="minor"/>
      </rPr>
      <t xml:space="preserve"> covering </t>
    </r>
    <r>
      <rPr>
        <b/>
        <sz val="11"/>
        <color rgb="FF000000"/>
        <rFont val="Calibri"/>
        <family val="2"/>
        <scheme val="minor"/>
      </rPr>
      <t>January 2025 to March 2026</t>
    </r>
    <r>
      <rPr>
        <sz val="11"/>
        <color rgb="FF000000"/>
        <rFont val="Calibri"/>
        <family val="2"/>
        <scheme val="minor"/>
      </rPr>
      <t>. It provides management-level KPIs and allows users to dynamically filter results by region, product category, customer type, salesperson, and date.</t>
    </r>
  </si>
  <si>
    <t>Key Dashboard Features</t>
  </si>
  <si>
    <t>Key Business Insights</t>
  </si>
  <si>
    <r>
      <t>Electronics</t>
    </r>
    <r>
      <rPr>
        <sz val="14"/>
        <color rgb="FF000000"/>
        <rFont val="Calibri"/>
        <family val="2"/>
        <scheme val="minor"/>
      </rPr>
      <t xml:space="preserve"> generated the highest sales:</t>
    </r>
  </si>
  <si>
    <r>
      <t xml:space="preserve">Furniture followed with </t>
    </r>
    <r>
      <rPr>
        <b/>
        <sz val="14"/>
        <color rgb="FF000000"/>
        <rFont val="Calibri"/>
        <family val="2"/>
        <scheme val="minor"/>
      </rPr>
      <t>₱2,726,120.00 (40.38%)</t>
    </r>
    <r>
      <rPr>
        <sz val="14"/>
        <color rgb="FF000000"/>
        <rFont val="Calibri"/>
        <family val="2"/>
        <scheme val="minor"/>
      </rPr>
      <t xml:space="preserve">, while Office Supplies contributed </t>
    </r>
    <r>
      <rPr>
        <b/>
        <sz val="14"/>
        <color rgb="FF000000"/>
        <rFont val="Calibri"/>
        <family val="2"/>
        <scheme val="minor"/>
      </rPr>
      <t>₱443,380.00 (6.57%)</t>
    </r>
    <r>
      <rPr>
        <sz val="14"/>
        <color rgb="FF000000"/>
        <rFont val="Calibri"/>
        <family val="2"/>
        <scheme val="minor"/>
      </rPr>
      <t>.</t>
    </r>
  </si>
  <si>
    <r>
      <t>Insight:</t>
    </r>
    <r>
      <rPr>
        <sz val="14"/>
        <color rgb="FF000000"/>
        <rFont val="Calibri"/>
        <family val="2"/>
        <scheme val="minor"/>
      </rPr>
      <t xml:space="preserve"> Sales are heavily concentrated in Electronics and Furniture, which together account for approximately </t>
    </r>
    <r>
      <rPr>
        <b/>
        <sz val="14"/>
        <color rgb="FF000000"/>
        <rFont val="Calibri"/>
        <family val="2"/>
        <scheme val="minor"/>
      </rPr>
      <t>93% of total sales</t>
    </r>
    <r>
      <rPr>
        <sz val="14"/>
        <color rgb="FF000000"/>
        <rFont val="Calibri"/>
        <family val="2"/>
        <scheme val="minor"/>
      </rPr>
      <t>.</t>
    </r>
  </si>
  <si>
    <r>
      <t>Laptop</t>
    </r>
    <r>
      <rPr>
        <sz val="14"/>
        <color rgb="FF000000"/>
        <rFont val="Calibri"/>
        <family val="2"/>
        <scheme val="minor"/>
      </rPr>
      <t xml:space="preserve"> was the strongest individual product:</t>
    </r>
  </si>
  <si>
    <r>
      <t xml:space="preserve">Together, these five products generated </t>
    </r>
    <r>
      <rPr>
        <b/>
        <sz val="14"/>
        <color rgb="FF000000"/>
        <rFont val="Calibri"/>
        <family val="2"/>
        <scheme val="minor"/>
      </rPr>
      <t>₱5,152,245</t>
    </r>
    <r>
      <rPr>
        <sz val="14"/>
        <color rgb="FF000000"/>
        <rFont val="Calibri"/>
        <family val="2"/>
        <scheme val="minor"/>
      </rPr>
      <t xml:space="preserve">, representing approximately </t>
    </r>
    <r>
      <rPr>
        <b/>
        <sz val="14"/>
        <color rgb="FF000000"/>
        <rFont val="Calibri"/>
        <family val="2"/>
        <scheme val="minor"/>
      </rPr>
      <t>76.3% of total sales</t>
    </r>
    <r>
      <rPr>
        <sz val="14"/>
        <color rgb="FF000000"/>
        <rFont val="Calibri"/>
        <family val="2"/>
        <scheme val="minor"/>
      </rPr>
      <t>.</t>
    </r>
  </si>
  <si>
    <r>
      <t>Insight:</t>
    </r>
    <r>
      <rPr>
        <sz val="14"/>
        <color rgb="FF000000"/>
        <rFont val="Calibri"/>
        <family val="2"/>
        <scheme val="minor"/>
      </rPr>
      <t xml:space="preserve"> Sales are highly concentrated among a small group of products, with Laptop sales particularly dominant.</t>
    </r>
  </si>
  <si>
    <r>
      <t xml:space="preserve">Government contributed </t>
    </r>
    <r>
      <rPr>
        <b/>
        <sz val="14"/>
        <color theme="1"/>
        <rFont val="Calibri"/>
        <family val="2"/>
        <scheme val="minor"/>
      </rPr>
      <t>16.42%</t>
    </r>
    <r>
      <rPr>
        <sz val="14"/>
        <color theme="1"/>
        <rFont val="Calibri"/>
        <family val="2"/>
        <scheme val="minor"/>
      </rPr>
      <t xml:space="preserve">, while Corporate contributed </t>
    </r>
    <r>
      <rPr>
        <b/>
        <sz val="14"/>
        <color theme="1"/>
        <rFont val="Calibri"/>
        <family val="2"/>
        <scheme val="minor"/>
      </rPr>
      <t>11.26%</t>
    </r>
    <r>
      <rPr>
        <sz val="14"/>
        <color theme="1"/>
        <rFont val="Calibri"/>
        <family val="2"/>
        <scheme val="minor"/>
      </rPr>
      <t>.</t>
    </r>
  </si>
  <si>
    <r>
      <t>Insight:</t>
    </r>
    <r>
      <rPr>
        <sz val="14"/>
        <color theme="1"/>
        <rFont val="Calibri"/>
        <family val="2"/>
        <scheme val="minor"/>
      </rPr>
      <t xml:space="preserve"> Retail is the company's dominant customer segment, suggesting that changes in retail demand could have a significant effect on overall revenue.</t>
    </r>
  </si>
  <si>
    <r>
      <t>South</t>
    </r>
    <r>
      <rPr>
        <sz val="14"/>
        <color theme="1"/>
        <rFont val="Calibri"/>
        <family val="2"/>
        <scheme val="minor"/>
      </rPr>
      <t xml:space="preserve"> was the strongest region:</t>
    </r>
  </si>
  <si>
    <r>
      <t>Insight:</t>
    </r>
    <r>
      <rPr>
        <sz val="14"/>
        <color theme="1"/>
        <rFont val="Calibri"/>
        <family val="2"/>
        <scheme val="minor"/>
      </rPr>
      <t xml:space="preserve"> The South region generated substantially more sales than the other regions, while East represents an opportunity for further investigation and improvement.</t>
    </r>
  </si>
  <si>
    <r>
      <t>Grace</t>
    </r>
    <r>
      <rPr>
        <sz val="14"/>
        <color theme="1"/>
        <rFont val="Calibri"/>
        <family val="2"/>
        <scheme val="minor"/>
      </rPr>
      <t xml:space="preserve"> had the highest Net Sales:</t>
    </r>
  </si>
  <si>
    <r>
      <t xml:space="preserve">However, </t>
    </r>
    <r>
      <rPr>
        <b/>
        <sz val="14"/>
        <color theme="1"/>
        <rFont val="Calibri"/>
        <family val="2"/>
        <scheme val="minor"/>
      </rPr>
      <t>Kevin</t>
    </r>
    <r>
      <rPr>
        <sz val="14"/>
        <color theme="1"/>
        <rFont val="Calibri"/>
        <family val="2"/>
        <scheme val="minor"/>
      </rPr>
      <t xml:space="preserve"> had the highest Average Order Value:</t>
    </r>
  </si>
  <si>
    <r>
      <t>Insight:</t>
    </r>
    <r>
      <rPr>
        <sz val="14"/>
        <color theme="1"/>
        <rFont val="Calibri"/>
        <family val="2"/>
        <scheme val="minor"/>
      </rPr>
      <t xml:space="preserve"> Grace leads in overall sales volume, while Kevin generates significantly higher value per order.</t>
    </r>
  </si>
  <si>
    <t>Business Recommendations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</si>
</sst>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8" formatCode="&quot;₱&quot;#,##0.00;[Red]\-&quot;₱&quot;#,##0.00"/>
    <numFmt numFmtId="164" formatCode="_-[$₱-3409]* #,##0.00_-;\-[$₱-3409]* #,##0.00_-;_-[$₱-3409]* &quot;-&quot;??_-;_-@_-"/>
    <numFmt numFmtId="165" formatCode="[$₱-3409]#,##0.00;[Red][$₱-3409]#,##0.00"/>
    <numFmt numFmtId="166" formatCode="[$₱-3409]#,##0.00;\-[$₱-3409]#,##0.00"/>
  </numFmts>
  <fonts count="30" x14ac:knownFonts="1">
    <font>
      <sz val="11"/>
      <color theme="1"/>
      <name val="Calibri"/>
      <family val="2"/>
      <scheme val="minor"/>
    </font>
    <font>
      <sz val="11"/>
      <color theme="1"/>
      <name val="Calibri"/>
      <family val="2"/>
      <scheme val="minor"/>
    </font>
    <font>
      <b/>
      <sz val="11"/>
      <color theme="1"/>
      <name val="Calibri"/>
      <family val="2"/>
      <scheme val="minor"/>
    </font>
    <font>
      <sz val="11"/>
      <color theme="0"/>
      <name val="Calibri"/>
      <family val="2"/>
      <scheme val="minor"/>
    </font>
    <font>
      <sz val="11"/>
      <color theme="2"/>
      <name val="Calibri"/>
      <family val="2"/>
      <scheme val="minor"/>
    </font>
    <font>
      <b/>
      <sz val="14"/>
      <color theme="0"/>
      <name val="Calibri"/>
      <family val="2"/>
      <scheme val="minor"/>
    </font>
    <font>
      <sz val="11"/>
      <color theme="4"/>
      <name val="Calibri"/>
      <family val="2"/>
      <scheme val="minor"/>
    </font>
    <font>
      <i/>
      <sz val="11"/>
      <color theme="1"/>
      <name val="Calibri"/>
      <family val="2"/>
      <scheme val="minor"/>
    </font>
    <font>
      <b/>
      <i/>
      <sz val="11"/>
      <color theme="1"/>
      <name val="Calibri"/>
      <family val="2"/>
      <scheme val="minor"/>
    </font>
    <font>
      <b/>
      <sz val="22"/>
      <color theme="0"/>
      <name val="Segoe UI"/>
      <family val="2"/>
    </font>
    <font>
      <sz val="22"/>
      <color theme="0"/>
      <name val="Segoe UI"/>
      <family val="2"/>
    </font>
    <font>
      <b/>
      <i/>
      <sz val="14"/>
      <color theme="0"/>
      <name val="Calibri"/>
      <family val="2"/>
      <scheme val="minor"/>
    </font>
    <font>
      <sz val="11"/>
      <color theme="8" tint="0.79998168889431442"/>
      <name val="Calibri"/>
      <family val="2"/>
      <scheme val="minor"/>
    </font>
    <font>
      <sz val="11"/>
      <color theme="2" tint="-0.89999084444715716"/>
      <name val="Calibri"/>
      <family val="2"/>
      <scheme val="minor"/>
    </font>
    <font>
      <sz val="11"/>
      <color theme="1" tint="0.14999847407452621"/>
      <name val="Calibri"/>
      <family val="2"/>
      <scheme val="minor"/>
    </font>
    <font>
      <sz val="11"/>
      <color theme="2" tint="-0.749992370372631"/>
      <name val="Calibri"/>
      <family val="2"/>
      <scheme val="minor"/>
    </font>
    <font>
      <b/>
      <sz val="11"/>
      <color theme="0"/>
      <name val="Calibri"/>
      <family val="2"/>
      <scheme val="minor"/>
    </font>
    <font>
      <b/>
      <sz val="16"/>
      <color theme="1"/>
      <name val="Calibri"/>
      <family val="2"/>
      <scheme val="minor"/>
    </font>
    <font>
      <b/>
      <sz val="13.5"/>
      <color theme="1"/>
      <name val="Calibri"/>
      <family val="2"/>
      <scheme val="minor"/>
    </font>
    <font>
      <sz val="14"/>
      <color theme="1"/>
      <name val="Calibri"/>
      <family val="2"/>
      <scheme val="minor"/>
    </font>
    <font>
      <b/>
      <sz val="24"/>
      <color theme="0"/>
      <name val="Calibri"/>
      <family val="2"/>
      <scheme val="minor"/>
    </font>
    <font>
      <b/>
      <sz val="14"/>
      <color theme="1"/>
      <name val="Calibri"/>
      <family val="2"/>
      <scheme val="minor"/>
    </font>
    <font>
      <b/>
      <sz val="24"/>
      <color theme="1"/>
      <name val="Calibri"/>
      <family val="2"/>
      <scheme val="minor"/>
    </font>
    <font>
      <b/>
      <sz val="18"/>
      <color theme="1"/>
      <name val="Calibri"/>
      <family val="2"/>
      <scheme val="minor"/>
    </font>
    <font>
      <sz val="11"/>
      <color rgb="FF000000"/>
      <name val="Calibri"/>
      <family val="2"/>
      <scheme val="minor"/>
    </font>
    <font>
      <b/>
      <sz val="11"/>
      <color rgb="FF000000"/>
      <name val="Calibri"/>
      <family val="2"/>
      <scheme val="minor"/>
    </font>
    <font>
      <sz val="24"/>
      <color theme="1"/>
      <name val="Calibri"/>
      <family val="2"/>
      <scheme val="minor"/>
    </font>
    <font>
      <b/>
      <sz val="13.5"/>
      <color rgb="FF000000"/>
      <name val="Calibri"/>
      <family val="2"/>
      <scheme val="minor"/>
    </font>
    <font>
      <sz val="14"/>
      <color rgb="FF000000"/>
      <name val="Calibri"/>
      <family val="2"/>
      <scheme val="minor"/>
    </font>
    <font>
      <b/>
      <sz val="14"/>
      <color rgb="FF000000"/>
      <name val="Calibri"/>
      <family val="2"/>
      <scheme val="minor"/>
    </font>
  </fonts>
  <fills count="6">
    <fill>
      <patternFill patternType="none"/>
    </fill>
    <fill>
      <patternFill patternType="gray125"/>
    </fill>
    <fill>
      <patternFill patternType="solid">
        <fgColor theme="4"/>
        <bgColor indexed="64"/>
      </patternFill>
    </fill>
    <fill>
      <patternFill patternType="solid">
        <fgColor theme="4" tint="0.79998168889431442"/>
        <bgColor indexed="64"/>
      </patternFill>
    </fill>
    <fill>
      <patternFill patternType="solid">
        <fgColor theme="4"/>
        <bgColor theme="4"/>
      </patternFill>
    </fill>
    <fill>
      <patternFill patternType="solid">
        <fgColor theme="0"/>
        <bgColor indexed="64"/>
      </patternFill>
    </fill>
  </fills>
  <borders count="16">
    <border>
      <left/>
      <right/>
      <top/>
      <bottom/>
      <diagonal/>
    </border>
    <border>
      <left style="thin">
        <color theme="4" tint="0.39997558519241921"/>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right/>
      <top style="thin">
        <color theme="4" tint="0.39997558519241921"/>
      </top>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
      <left style="thin">
        <color theme="4" tint="0.39997558519241921"/>
      </left>
      <right style="thin">
        <color theme="4" tint="0.39997558519241921"/>
      </right>
      <top style="thin">
        <color theme="4" tint="0.39997558519241921"/>
      </top>
      <bottom/>
      <diagonal/>
    </border>
    <border>
      <left style="thin">
        <color theme="4" tint="0.39997558519241921"/>
      </left>
      <right style="thin">
        <color theme="3" tint="0.79998168889431442"/>
      </right>
      <top style="thin">
        <color theme="4" tint="0.39997558519241921"/>
      </top>
      <bottom style="thin">
        <color theme="4" tint="0.39997558519241921"/>
      </bottom>
      <diagonal/>
    </border>
    <border>
      <left style="thin">
        <color theme="4" tint="0.39997558519241921"/>
      </left>
      <right style="thin">
        <color theme="3" tint="0.79998168889431442"/>
      </right>
      <top style="thin">
        <color theme="4" tint="0.39997558519241921"/>
      </top>
      <bottom/>
      <diagonal/>
    </border>
    <border>
      <left style="thin">
        <color theme="3" tint="0.79998168889431442"/>
      </left>
      <right style="thin">
        <color theme="3" tint="0.79998168889431442"/>
      </right>
      <top style="thin">
        <color theme="4" tint="0.39997558519241921"/>
      </top>
      <bottom style="thin">
        <color theme="4" tint="0.39997558519241921"/>
      </bottom>
      <diagonal/>
    </border>
    <border>
      <left style="thin">
        <color theme="3" tint="0.79998168889431442"/>
      </left>
      <right style="thin">
        <color theme="3" tint="0.79998168889431442"/>
      </right>
      <top style="thin">
        <color theme="4" tint="0.39997558519241921"/>
      </top>
      <bottom/>
      <diagonal/>
    </border>
    <border>
      <left/>
      <right style="medium">
        <color theme="0"/>
      </right>
      <top/>
      <bottom style="medium">
        <color theme="0"/>
      </bottom>
      <diagonal/>
    </border>
    <border>
      <left style="medium">
        <color theme="0"/>
      </left>
      <right style="medium">
        <color theme="0"/>
      </right>
      <top/>
      <bottom style="medium">
        <color theme="0"/>
      </bottom>
      <diagonal/>
    </border>
    <border>
      <left style="medium">
        <color theme="0"/>
      </left>
      <right style="medium">
        <color theme="0"/>
      </right>
      <top style="medium">
        <color theme="0"/>
      </top>
      <bottom style="medium">
        <color theme="0"/>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116">
    <xf numFmtId="0" fontId="0" fillId="0" borderId="0" xfId="0"/>
    <xf numFmtId="165" fontId="0" fillId="0" borderId="0" xfId="0" applyNumberFormat="1"/>
    <xf numFmtId="14" fontId="0" fillId="0" borderId="0" xfId="0" applyNumberFormat="1"/>
    <xf numFmtId="0" fontId="0" fillId="0" borderId="0" xfId="0" applyAlignment="1">
      <alignment horizontal="center"/>
    </xf>
    <xf numFmtId="0" fontId="2" fillId="0" borderId="0" xfId="0" applyFont="1" applyAlignment="1">
      <alignment horizontal="center" vertical="center" wrapText="1"/>
    </xf>
    <xf numFmtId="0" fontId="0" fillId="0" borderId="0" xfId="0" applyAlignment="1">
      <alignment vertical="center" wrapText="1"/>
    </xf>
    <xf numFmtId="9" fontId="0" fillId="0" borderId="0" xfId="1" applyFont="1" applyAlignment="1">
      <alignment horizontal="center" vertical="center"/>
    </xf>
    <xf numFmtId="0" fontId="0" fillId="0" borderId="0" xfId="0" applyAlignment="1">
      <alignment horizontal="right" vertical="center" wrapText="1"/>
    </xf>
    <xf numFmtId="17" fontId="0" fillId="0" borderId="0" xfId="0" applyNumberFormat="1" applyAlignment="1">
      <alignment vertical="center" wrapText="1"/>
    </xf>
    <xf numFmtId="17" fontId="0" fillId="0" borderId="1" xfId="0" applyNumberFormat="1" applyBorder="1" applyAlignment="1">
      <alignment vertical="center" wrapText="1"/>
    </xf>
    <xf numFmtId="0" fontId="0" fillId="0" borderId="2" xfId="0" applyBorder="1" applyAlignment="1">
      <alignment horizontal="right" vertical="center" wrapText="1"/>
    </xf>
    <xf numFmtId="0" fontId="0" fillId="0" borderId="0" xfId="0" applyAlignment="1">
      <alignment horizontal="center" vertical="center"/>
    </xf>
    <xf numFmtId="9" fontId="0" fillId="0" borderId="0" xfId="0" applyNumberFormat="1" applyAlignment="1">
      <alignment horizontal="center" vertical="center"/>
    </xf>
    <xf numFmtId="0" fontId="0" fillId="0" borderId="0" xfId="0" applyAlignment="1">
      <alignment horizontal="left"/>
    </xf>
    <xf numFmtId="10" fontId="0" fillId="0" borderId="0" xfId="0" applyNumberFormat="1"/>
    <xf numFmtId="0" fontId="0" fillId="2" borderId="0" xfId="0" applyFill="1"/>
    <xf numFmtId="0" fontId="3" fillId="0" borderId="0" xfId="0" applyFont="1"/>
    <xf numFmtId="0" fontId="6" fillId="0" borderId="0" xfId="0" applyFont="1"/>
    <xf numFmtId="165" fontId="0" fillId="0" borderId="0" xfId="0" applyNumberFormat="1" applyAlignment="1">
      <alignment horizontal="right" vertical="center" wrapText="1"/>
    </xf>
    <xf numFmtId="0" fontId="7" fillId="0" borderId="0" xfId="0" applyFont="1"/>
    <xf numFmtId="0" fontId="8" fillId="0" borderId="0" xfId="0" applyFont="1"/>
    <xf numFmtId="0" fontId="4" fillId="0" borderId="0" xfId="0" applyFont="1"/>
    <xf numFmtId="0" fontId="12" fillId="0" borderId="0" xfId="0" applyFont="1"/>
    <xf numFmtId="0" fontId="13" fillId="0" borderId="0" xfId="0" applyFont="1"/>
    <xf numFmtId="0" fontId="14" fillId="3" borderId="0" xfId="0" applyFont="1" applyFill="1"/>
    <xf numFmtId="165" fontId="14" fillId="3" borderId="0" xfId="0" applyNumberFormat="1" applyFont="1" applyFill="1"/>
    <xf numFmtId="0" fontId="14" fillId="3" borderId="0" xfId="0" applyFont="1" applyFill="1" applyAlignment="1">
      <alignment horizontal="left"/>
    </xf>
    <xf numFmtId="0" fontId="14" fillId="3" borderId="0" xfId="0" applyFont="1" applyFill="1" applyAlignment="1">
      <alignment horizontal="center" vertical="center"/>
    </xf>
    <xf numFmtId="0" fontId="14" fillId="0" borderId="0" xfId="0" applyFont="1"/>
    <xf numFmtId="0" fontId="15" fillId="3" borderId="0" xfId="0" applyFont="1" applyFill="1"/>
    <xf numFmtId="165" fontId="15" fillId="3" borderId="0" xfId="0" applyNumberFormat="1" applyFont="1" applyFill="1"/>
    <xf numFmtId="0" fontId="15" fillId="3" borderId="0" xfId="0" applyFont="1" applyFill="1" applyAlignment="1">
      <alignment horizontal="left"/>
    </xf>
    <xf numFmtId="10" fontId="15" fillId="3" borderId="0" xfId="0" applyNumberFormat="1" applyFont="1" applyFill="1"/>
    <xf numFmtId="0" fontId="15" fillId="3" borderId="0" xfId="0" applyFont="1" applyFill="1" applyAlignment="1">
      <alignment horizontal="center" vertical="center"/>
    </xf>
    <xf numFmtId="0" fontId="15" fillId="3" borderId="0" xfId="0" applyFont="1" applyFill="1" applyAlignment="1">
      <alignment horizontal="left" vertical="center"/>
    </xf>
    <xf numFmtId="0" fontId="15" fillId="0" borderId="0" xfId="0" applyFont="1"/>
    <xf numFmtId="9" fontId="0" fillId="0" borderId="6" xfId="1" applyFont="1" applyFill="1" applyBorder="1" applyAlignment="1">
      <alignment horizontal="center" vertical="center"/>
    </xf>
    <xf numFmtId="9" fontId="0" fillId="0" borderId="2" xfId="1" applyFont="1" applyFill="1" applyBorder="1" applyAlignment="1">
      <alignment horizontal="center" vertical="center"/>
    </xf>
    <xf numFmtId="0" fontId="0" fillId="0" borderId="6" xfId="0" applyBorder="1" applyAlignment="1">
      <alignment vertical="center" wrapText="1"/>
    </xf>
    <xf numFmtId="0" fontId="0" fillId="0" borderId="2" xfId="0" applyBorder="1" applyAlignment="1">
      <alignment vertical="center" wrapText="1"/>
    </xf>
    <xf numFmtId="0" fontId="0" fillId="0" borderId="6" xfId="0" applyBorder="1" applyAlignment="1">
      <alignment horizontal="center" vertical="center"/>
    </xf>
    <xf numFmtId="0" fontId="0" fillId="0" borderId="2" xfId="0" applyBorder="1" applyAlignment="1">
      <alignment horizontal="center" vertical="center"/>
    </xf>
    <xf numFmtId="0" fontId="0" fillId="0" borderId="7" xfId="0" applyBorder="1" applyAlignment="1">
      <alignment horizontal="center" vertical="center"/>
    </xf>
    <xf numFmtId="0" fontId="0" fillId="0" borderId="3" xfId="0" applyBorder="1" applyAlignment="1">
      <alignment horizontal="center" vertical="center"/>
    </xf>
    <xf numFmtId="166" fontId="0" fillId="0" borderId="6" xfId="0" applyNumberFormat="1" applyBorder="1" applyAlignment="1">
      <alignment horizontal="left" vertical="center"/>
    </xf>
    <xf numFmtId="166" fontId="0" fillId="0" borderId="2" xfId="0" applyNumberFormat="1" applyBorder="1" applyAlignment="1">
      <alignment horizontal="left" vertical="center"/>
    </xf>
    <xf numFmtId="0" fontId="0" fillId="0" borderId="9" xfId="0" applyBorder="1" applyAlignment="1">
      <alignment horizontal="center" vertical="center"/>
    </xf>
    <xf numFmtId="0" fontId="0" fillId="0" borderId="8" xfId="0" applyBorder="1" applyAlignment="1">
      <alignment horizontal="center" vertical="center"/>
    </xf>
    <xf numFmtId="0" fontId="0" fillId="0" borderId="11" xfId="0" applyBorder="1" applyAlignment="1">
      <alignment horizontal="left" vertical="center"/>
    </xf>
    <xf numFmtId="0" fontId="0" fillId="0" borderId="10" xfId="0" applyBorder="1" applyAlignment="1">
      <alignment horizontal="left" vertical="center"/>
    </xf>
    <xf numFmtId="0" fontId="0" fillId="0" borderId="9" xfId="0" applyBorder="1" applyAlignment="1">
      <alignment vertical="center" wrapText="1"/>
    </xf>
    <xf numFmtId="0" fontId="0" fillId="0" borderId="8" xfId="0" applyBorder="1" applyAlignment="1">
      <alignment vertical="center" wrapText="1"/>
    </xf>
    <xf numFmtId="0" fontId="5" fillId="2" borderId="5" xfId="0" applyFont="1" applyFill="1" applyBorder="1" applyAlignment="1">
      <alignment horizontal="center" vertical="center"/>
    </xf>
    <xf numFmtId="0" fontId="5" fillId="4" borderId="6" xfId="0" applyFont="1" applyFill="1" applyBorder="1" applyAlignment="1">
      <alignment horizontal="center" vertical="center"/>
    </xf>
    <xf numFmtId="0" fontId="5" fillId="4" borderId="5" xfId="0" applyFont="1" applyFill="1" applyBorder="1" applyAlignment="1">
      <alignment horizontal="center" vertical="center"/>
    </xf>
    <xf numFmtId="0" fontId="5" fillId="4" borderId="7" xfId="0" applyFont="1" applyFill="1" applyBorder="1" applyAlignment="1">
      <alignment horizontal="center" vertical="center"/>
    </xf>
    <xf numFmtId="0" fontId="5" fillId="4" borderId="4" xfId="0" applyFont="1" applyFill="1" applyBorder="1" applyAlignment="1">
      <alignment horizontal="center" vertical="center"/>
    </xf>
    <xf numFmtId="0" fontId="5" fillId="4" borderId="5" xfId="0" applyFont="1" applyFill="1" applyBorder="1"/>
    <xf numFmtId="0" fontId="5" fillId="4" borderId="6" xfId="0" applyFont="1" applyFill="1" applyBorder="1"/>
    <xf numFmtId="0" fontId="17" fillId="0" borderId="0" xfId="0" applyFont="1" applyAlignment="1">
      <alignment horizontal="center" vertical="center"/>
    </xf>
    <xf numFmtId="0" fontId="3" fillId="2" borderId="0" xfId="0" applyFont="1" applyFill="1"/>
    <xf numFmtId="0" fontId="16" fillId="2" borderId="12" xfId="0" applyFont="1" applyFill="1" applyBorder="1" applyAlignment="1">
      <alignment horizontal="center" vertical="center"/>
    </xf>
    <xf numFmtId="0" fontId="16" fillId="2" borderId="13" xfId="0" applyFont="1" applyFill="1" applyBorder="1" applyAlignment="1">
      <alignment horizontal="center" vertical="center"/>
    </xf>
    <xf numFmtId="164" fontId="16" fillId="2" borderId="13" xfId="0" applyNumberFormat="1" applyFont="1" applyFill="1" applyBorder="1" applyAlignment="1">
      <alignment horizontal="center" vertical="center"/>
    </xf>
    <xf numFmtId="0" fontId="16" fillId="2" borderId="14" xfId="0" applyFont="1" applyFill="1" applyBorder="1" applyAlignment="1">
      <alignment horizontal="center" vertical="center"/>
    </xf>
    <xf numFmtId="0" fontId="16" fillId="0" borderId="0" xfId="0" applyFont="1" applyAlignment="1">
      <alignment horizontal="center" vertical="center" wrapText="1"/>
    </xf>
    <xf numFmtId="0" fontId="16" fillId="0" borderId="0" xfId="0" applyFont="1" applyAlignment="1">
      <alignment horizontal="right" vertical="center" wrapText="1"/>
    </xf>
    <xf numFmtId="0" fontId="0" fillId="0" borderId="0" xfId="0" applyAlignment="1">
      <alignment horizontal="left" vertical="center" indent="1"/>
    </xf>
    <xf numFmtId="0" fontId="16" fillId="2" borderId="0" xfId="0" applyFont="1" applyFill="1" applyAlignment="1">
      <alignment horizontal="center" vertical="center" wrapText="1"/>
    </xf>
    <xf numFmtId="0" fontId="0" fillId="0" borderId="15" xfId="0" applyBorder="1" applyAlignment="1">
      <alignment horizontal="left" vertical="center" wrapText="1"/>
    </xf>
    <xf numFmtId="0" fontId="19" fillId="0" borderId="0" xfId="0" applyFont="1"/>
    <xf numFmtId="0" fontId="18" fillId="0" borderId="0" xfId="0" applyFont="1" applyAlignment="1">
      <alignment vertical="center"/>
    </xf>
    <xf numFmtId="0" fontId="3" fillId="5" borderId="0" xfId="0" applyFont="1" applyFill="1"/>
    <xf numFmtId="0" fontId="3" fillId="5" borderId="0" xfId="0" applyFont="1" applyFill="1" applyAlignment="1">
      <alignment horizontal="left" vertical="center"/>
    </xf>
    <xf numFmtId="0" fontId="3" fillId="5" borderId="0" xfId="0" applyFont="1" applyFill="1" applyAlignment="1">
      <alignment horizontal="left"/>
    </xf>
    <xf numFmtId="165" fontId="3" fillId="5" borderId="0" xfId="0" applyNumberFormat="1" applyFont="1" applyFill="1"/>
    <xf numFmtId="0" fontId="0" fillId="0" borderId="0" xfId="0" applyAlignment="1">
      <alignment horizontal="left" indent="1"/>
    </xf>
    <xf numFmtId="165" fontId="14" fillId="0" borderId="0" xfId="0" applyNumberFormat="1" applyFont="1"/>
    <xf numFmtId="0" fontId="9" fillId="2" borderId="0" xfId="0" applyFont="1" applyFill="1" applyAlignment="1">
      <alignment horizontal="center"/>
    </xf>
    <xf numFmtId="0" fontId="10" fillId="2" borderId="0" xfId="0" applyFont="1" applyFill="1" applyAlignment="1">
      <alignment horizontal="center"/>
    </xf>
    <xf numFmtId="0" fontId="17" fillId="3" borderId="0" xfId="0" applyFont="1" applyFill="1" applyAlignment="1">
      <alignment horizontal="center" vertical="center"/>
    </xf>
    <xf numFmtId="0" fontId="11" fillId="5" borderId="0" xfId="0" applyFont="1" applyFill="1" applyAlignment="1">
      <alignment horizontal="center" vertical="center"/>
    </xf>
    <xf numFmtId="0" fontId="11" fillId="2" borderId="0" xfId="0" applyFont="1" applyFill="1" applyAlignment="1">
      <alignment horizontal="center" vertical="center"/>
    </xf>
    <xf numFmtId="0" fontId="5" fillId="2" borderId="0" xfId="0" applyFont="1" applyFill="1" applyAlignment="1">
      <alignment horizontal="center" vertical="center"/>
    </xf>
    <xf numFmtId="0" fontId="19" fillId="0" borderId="0" xfId="0" applyFont="1" applyAlignment="1">
      <alignment horizontal="left" vertical="center" indent="1"/>
    </xf>
    <xf numFmtId="0" fontId="19" fillId="0" borderId="0" xfId="0" applyFont="1"/>
    <xf numFmtId="0" fontId="18" fillId="0" borderId="0" xfId="0" applyFont="1" applyAlignment="1">
      <alignment vertical="center"/>
    </xf>
    <xf numFmtId="0" fontId="20" fillId="2" borderId="0" xfId="0" applyFont="1" applyFill="1"/>
    <xf numFmtId="0" fontId="0" fillId="0" borderId="0" xfId="0" applyAlignment="1">
      <alignment horizontal="left" vertical="center" indent="1"/>
    </xf>
    <xf numFmtId="0" fontId="2" fillId="0" borderId="0" xfId="0" applyFont="1"/>
    <xf numFmtId="0" fontId="2" fillId="0" borderId="0" xfId="0" applyFont="1" applyAlignment="1">
      <alignment horizontal="left" vertical="center" indent="1"/>
    </xf>
    <xf numFmtId="0" fontId="0" fillId="0" borderId="0" xfId="0"/>
    <xf numFmtId="0" fontId="2" fillId="0" borderId="0" xfId="0" applyFont="1" applyAlignment="1">
      <alignment horizontal="left" vertical="center" indent="1"/>
    </xf>
    <xf numFmtId="0" fontId="21" fillId="0" borderId="0" xfId="0" applyFont="1" applyAlignment="1">
      <alignment horizontal="left" vertical="center" indent="1"/>
    </xf>
    <xf numFmtId="0" fontId="22" fillId="0" borderId="0" xfId="0" applyFont="1" applyAlignment="1">
      <alignment vertical="center"/>
    </xf>
    <xf numFmtId="0" fontId="23" fillId="0" borderId="0" xfId="0" applyFont="1" applyAlignment="1">
      <alignment vertical="center"/>
    </xf>
    <xf numFmtId="0" fontId="24" fillId="0" borderId="0" xfId="0" applyFont="1" applyAlignment="1">
      <alignment horizontal="left" vertical="center" indent="1"/>
    </xf>
    <xf numFmtId="0" fontId="24" fillId="0" borderId="0" xfId="0" applyFont="1"/>
    <xf numFmtId="0" fontId="22" fillId="0" borderId="0" xfId="0" applyFont="1" applyAlignment="1">
      <alignment vertical="center"/>
    </xf>
    <xf numFmtId="0" fontId="26" fillId="0" borderId="0" xfId="0" applyFont="1"/>
    <xf numFmtId="0" fontId="22" fillId="0" borderId="0" xfId="0" applyFont="1"/>
    <xf numFmtId="0" fontId="0" fillId="0" borderId="0" xfId="0" applyFill="1"/>
    <xf numFmtId="0" fontId="20" fillId="2" borderId="0" xfId="0" applyFont="1" applyFill="1" applyAlignment="1">
      <alignment vertical="center"/>
    </xf>
    <xf numFmtId="0" fontId="27" fillId="3" borderId="0" xfId="0" applyFont="1" applyFill="1" applyAlignment="1">
      <alignment vertical="center"/>
    </xf>
    <xf numFmtId="0" fontId="18" fillId="3" borderId="0" xfId="0" applyFont="1" applyFill="1" applyAlignment="1">
      <alignment vertical="center"/>
    </xf>
    <xf numFmtId="0" fontId="24" fillId="0" borderId="0" xfId="0" applyFont="1"/>
    <xf numFmtId="0" fontId="24" fillId="0" borderId="0" xfId="0" applyFont="1" applyAlignment="1">
      <alignment horizontal="left" vertical="center" indent="1"/>
    </xf>
    <xf numFmtId="0" fontId="28" fillId="0" borderId="0" xfId="0" applyFont="1"/>
    <xf numFmtId="0" fontId="29" fillId="0" borderId="0" xfId="0" applyFont="1"/>
    <xf numFmtId="0" fontId="29" fillId="0" borderId="0" xfId="0" applyFont="1" applyAlignment="1">
      <alignment horizontal="left" vertical="center" indent="1"/>
    </xf>
    <xf numFmtId="0" fontId="28" fillId="0" borderId="0" xfId="0" applyFont="1"/>
    <xf numFmtId="0" fontId="28" fillId="0" borderId="0" xfId="0" applyFont="1" applyAlignment="1">
      <alignment horizontal="left" vertical="center" indent="1"/>
    </xf>
    <xf numFmtId="0" fontId="21" fillId="0" borderId="0" xfId="0" applyFont="1"/>
    <xf numFmtId="8" fontId="21" fillId="0" borderId="0" xfId="0" applyNumberFormat="1" applyFont="1" applyAlignment="1">
      <alignment horizontal="left" vertical="center" indent="1"/>
    </xf>
    <xf numFmtId="0" fontId="20" fillId="2" borderId="0" xfId="0" applyFont="1" applyFill="1" applyAlignment="1">
      <alignment vertical="center"/>
    </xf>
    <xf numFmtId="0" fontId="21" fillId="0" borderId="0" xfId="0" applyFont="1" applyAlignment="1">
      <alignment vertical="center"/>
    </xf>
  </cellXfs>
  <cellStyles count="2">
    <cellStyle name="Normal" xfId="0" builtinId="0"/>
    <cellStyle name="Percent" xfId="1" builtinId="5"/>
  </cellStyles>
  <dxfs count="359">
    <dxf>
      <font>
        <color theme="1" tint="0.14999847407452621"/>
      </font>
    </dxf>
    <dxf>
      <font>
        <color theme="1" tint="0.14999847407452621"/>
      </font>
    </dxf>
    <dxf>
      <font>
        <color theme="1" tint="0.14999847407452621"/>
      </font>
    </dxf>
    <dxf>
      <font>
        <color theme="1" tint="0.14999847407452621"/>
      </font>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ont>
        <color theme="0"/>
      </font>
    </dxf>
    <dxf>
      <fill>
        <patternFill patternType="solid">
          <bgColor theme="4"/>
        </patternFill>
      </fill>
    </dxf>
    <dxf>
      <font>
        <color theme="0"/>
      </font>
    </dxf>
    <dxf>
      <font>
        <color theme="0"/>
      </font>
    </dxf>
    <dxf>
      <font>
        <color theme="0"/>
      </font>
    </dxf>
    <dxf>
      <font>
        <color theme="0"/>
      </font>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alignment horizontal="center"/>
    </dxf>
    <dxf>
      <alignment vertical="center"/>
    </dxf>
    <dxf>
      <alignment horizontal="center"/>
    </dxf>
    <dxf>
      <alignment vertical="center"/>
    </dxf>
    <dxf>
      <alignment horizontal="left"/>
    </dxf>
    <dxf>
      <alignment vertical="center"/>
    </dxf>
    <dxf>
      <font>
        <color theme="2" tint="-0.749992370372631"/>
      </font>
    </dxf>
    <dxf>
      <font>
        <color theme="2" tint="-0.749992370372631"/>
      </font>
    </dxf>
    <dxf>
      <font>
        <color theme="2" tint="-0.749992370372631"/>
      </font>
    </dxf>
    <dxf>
      <font>
        <color theme="2" tint="-0.749992370372631"/>
      </font>
    </dxf>
    <dxf>
      <font>
        <color theme="2" tint="-0.749992370372631"/>
      </font>
    </dxf>
    <dxf>
      <font>
        <color theme="2" tint="-0.749992370372631"/>
      </font>
    </dxf>
    <dxf>
      <font>
        <color theme="2" tint="-0.749992370372631"/>
      </font>
    </dxf>
    <dxf>
      <font>
        <color theme="2" tint="-0.749992370372631"/>
      </font>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ont>
        <color theme="0"/>
      </font>
    </dxf>
    <dxf>
      <font>
        <color theme="0"/>
      </font>
    </dxf>
    <dxf>
      <font>
        <color theme="0"/>
      </font>
    </dxf>
    <dxf>
      <font>
        <color theme="0"/>
      </font>
    </dxf>
    <dxf>
      <font>
        <color theme="0"/>
      </font>
    </dxf>
    <dxf>
      <font>
        <color theme="0"/>
      </font>
    </dxf>
    <dxf>
      <font>
        <color theme="0"/>
      </font>
    </dxf>
    <dxf>
      <font>
        <color theme="0"/>
      </font>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ont>
        <color theme="2" tint="-0.749992370372631"/>
      </font>
    </dxf>
    <dxf>
      <fill>
        <patternFill>
          <bgColor theme="4" tint="0.79998168889431442"/>
        </patternFill>
      </fill>
    </dxf>
    <dxf>
      <font>
        <color theme="2" tint="-0.749992370372631"/>
      </font>
    </dxf>
    <dxf>
      <font>
        <color theme="2" tint="-0.749992370372631"/>
      </font>
    </dxf>
    <dxf>
      <font>
        <color theme="2" tint="-0.749992370372631"/>
      </font>
    </dxf>
    <dxf>
      <font>
        <color theme="2" tint="-0.749992370372631"/>
      </font>
    </dxf>
    <dxf>
      <font>
        <color theme="2" tint="-0.749992370372631"/>
      </font>
    </dxf>
    <dxf>
      <font>
        <color theme="2" tint="-0.749992370372631"/>
      </font>
    </dxf>
    <dxf>
      <font>
        <color theme="2" tint="-0.749992370372631"/>
      </font>
    </dxf>
    <dxf>
      <font>
        <color theme="2" tint="-0.749992370372631"/>
      </font>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ont>
        <color theme="0"/>
      </font>
    </dxf>
    <dxf>
      <font>
        <color theme="0"/>
      </font>
    </dxf>
    <dxf>
      <font>
        <color theme="0"/>
      </font>
    </dxf>
    <dxf>
      <font>
        <color theme="0"/>
      </font>
    </dxf>
    <dxf>
      <font>
        <color theme="0"/>
      </font>
    </dxf>
    <dxf>
      <font>
        <color theme="0"/>
      </font>
    </dxf>
    <dxf>
      <font>
        <color theme="0"/>
      </font>
    </dxf>
    <dxf>
      <font>
        <color theme="0"/>
      </font>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alignment horizontal="center"/>
    </dxf>
    <dxf>
      <alignment vertical="center"/>
    </dxf>
    <dxf>
      <alignment horizontal="center"/>
    </dxf>
    <dxf>
      <alignment vertical="center"/>
    </dxf>
    <dxf>
      <alignment horizontal="left"/>
    </dxf>
    <dxf>
      <alignment vertical="center"/>
    </dxf>
    <dxf>
      <font>
        <color theme="2" tint="-0.749992370372631"/>
      </font>
    </dxf>
    <dxf>
      <font>
        <color theme="2" tint="-0.749992370372631"/>
      </font>
    </dxf>
    <dxf>
      <font>
        <color theme="2" tint="-0.749992370372631"/>
      </font>
    </dxf>
    <dxf>
      <font>
        <color theme="2" tint="-0.749992370372631"/>
      </font>
    </dxf>
    <dxf>
      <font>
        <color theme="2" tint="-0.749992370372631"/>
      </font>
    </dxf>
    <dxf>
      <font>
        <color theme="2" tint="-0.749992370372631"/>
      </font>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ont>
        <color theme="0"/>
      </font>
    </dxf>
    <dxf>
      <font>
        <color theme="0"/>
      </font>
    </dxf>
    <dxf>
      <font>
        <color theme="0"/>
      </font>
    </dxf>
    <dxf>
      <font>
        <color theme="0"/>
      </font>
    </dxf>
    <dxf>
      <font>
        <color theme="0"/>
      </font>
    </dxf>
    <dxf>
      <font>
        <color theme="0"/>
      </font>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alignment horizontal="center"/>
    </dxf>
    <dxf>
      <alignment vertical="center"/>
    </dxf>
    <dxf>
      <alignment horizontal="left"/>
    </dxf>
    <dxf>
      <alignment vertical="center"/>
    </dxf>
    <dxf>
      <font>
        <color theme="2" tint="-0.749992370372631"/>
      </font>
    </dxf>
    <dxf>
      <font>
        <color theme="2" tint="-0.749992370372631"/>
      </font>
    </dxf>
    <dxf>
      <font>
        <color theme="2" tint="-0.749992370372631"/>
      </font>
    </dxf>
    <dxf>
      <font>
        <color theme="2" tint="-0.749992370372631"/>
      </font>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ont>
        <color theme="0"/>
      </font>
    </dxf>
    <dxf>
      <font>
        <color theme="0"/>
      </font>
    </dxf>
    <dxf>
      <font>
        <color theme="0"/>
      </font>
    </dxf>
    <dxf>
      <font>
        <color theme="0"/>
      </font>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ont>
        <color theme="0"/>
      </font>
    </dxf>
    <dxf>
      <font>
        <color theme="0"/>
      </font>
    </dxf>
    <dxf>
      <font>
        <color theme="0"/>
      </font>
    </dxf>
    <dxf>
      <font>
        <color theme="0"/>
      </font>
    </dxf>
    <dxf>
      <font>
        <color theme="0"/>
      </font>
    </dxf>
    <dxf>
      <font>
        <color theme="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2" tint="-0.749992370372631"/>
      </font>
    </dxf>
    <dxf>
      <font>
        <color theme="2" tint="-0.749992370372631"/>
      </font>
    </dxf>
    <dxf>
      <font>
        <color theme="2" tint="-0.749992370372631"/>
      </font>
    </dxf>
    <dxf>
      <font>
        <color theme="2" tint="-0.749992370372631"/>
      </font>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ont>
        <color theme="0"/>
      </font>
    </dxf>
    <dxf>
      <font>
        <color theme="0"/>
      </font>
    </dxf>
    <dxf>
      <font>
        <color theme="0"/>
      </font>
    </dxf>
    <dxf>
      <font>
        <color theme="0"/>
      </font>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ont>
        <color theme="0"/>
      </font>
    </dxf>
    <dxf>
      <font>
        <color theme="0"/>
      </font>
    </dxf>
    <dxf>
      <font>
        <color theme="0"/>
      </font>
    </dxf>
    <dxf>
      <font>
        <color theme="0"/>
      </font>
    </dxf>
    <dxf>
      <font>
        <color theme="0"/>
      </font>
    </dxf>
    <dxf>
      <font>
        <color theme="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2" tint="-0.749992370372631"/>
      </font>
    </dxf>
    <dxf>
      <font>
        <color theme="2" tint="-0.749992370372631"/>
      </font>
    </dxf>
    <dxf>
      <font>
        <color theme="2" tint="-0.749992370372631"/>
      </font>
    </dxf>
    <dxf>
      <font>
        <color theme="2" tint="-0.749992370372631"/>
      </font>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ont>
        <color theme="0"/>
      </font>
    </dxf>
    <dxf>
      <font>
        <color theme="0"/>
      </font>
    </dxf>
    <dxf>
      <font>
        <color theme="0"/>
      </font>
    </dxf>
    <dxf>
      <font>
        <color theme="0"/>
      </font>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alignment horizontal="center"/>
    </dxf>
    <dxf>
      <alignment vertical="center"/>
    </dxf>
    <dxf>
      <alignment horizontal="left"/>
    </dxf>
    <dxf>
      <alignment vertical="cent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font>
        <color theme="2" tint="-0.749992370372631"/>
      </font>
    </dxf>
    <dxf>
      <font>
        <color theme="2" tint="-0.749992370372631"/>
      </font>
    </dxf>
    <dxf>
      <fill>
        <patternFill>
          <bgColor theme="4" tint="0.79998168889431442"/>
        </patternFill>
      </fill>
    </dxf>
    <dxf>
      <fill>
        <patternFill>
          <bgColor theme="4" tint="0.79998168889431442"/>
        </patternFill>
      </fill>
    </dxf>
    <dxf>
      <border>
        <top/>
      </border>
    </dxf>
    <dxf>
      <font>
        <color theme="1" tint="0.14999847407452621"/>
      </font>
    </dxf>
    <dxf>
      <fill>
        <patternFill patternType="none">
          <bgColor auto="1"/>
        </patternFill>
      </fill>
    </dxf>
    <dxf>
      <border>
        <bottom style="thin">
          <color indexed="64"/>
        </bottom>
      </border>
    </dxf>
    <dxf>
      <font>
        <color theme="1" tint="0.14999847407452621"/>
      </font>
    </dxf>
    <dxf>
      <font>
        <color theme="1" tint="0.14999847407452621"/>
      </font>
    </dxf>
    <dxf>
      <font>
        <color theme="1" tint="0.14999847407452621"/>
      </font>
    </dxf>
    <dxf>
      <fill>
        <patternFill>
          <bgColor theme="4" tint="0.79998168889431442"/>
        </patternFill>
      </fill>
    </dxf>
    <dxf>
      <fill>
        <patternFill>
          <bgColor theme="4" tint="0.79998168889431442"/>
        </patternFill>
      </fill>
    </dxf>
    <dxf>
      <fill>
        <patternFill>
          <bgColor theme="4" tint="0.79998168889431442"/>
        </patternFill>
      </fill>
    </dxf>
    <dxf>
      <font>
        <color theme="1" tint="0.14999847407452621"/>
      </font>
    </dxf>
    <dxf>
      <font>
        <color theme="2" tint="-0.89999084444715716"/>
      </font>
    </dxf>
    <dxf>
      <fill>
        <patternFill>
          <bgColor theme="4" tint="0.79998168889431442"/>
        </patternFill>
      </fill>
    </dxf>
    <dxf>
      <fill>
        <patternFill>
          <bgColor theme="4" tint="0.79998168889431442"/>
        </patternFill>
      </fill>
    </dxf>
    <dxf>
      <font>
        <color theme="8" tint="0.79998168889431442"/>
      </font>
    </dxf>
    <dxf>
      <font>
        <color theme="8" tint="0.79998168889431442"/>
      </font>
    </dxf>
    <dxf>
      <fill>
        <patternFill>
          <bgColor theme="4" tint="0.59999389629810485"/>
        </patternFill>
      </fill>
    </dxf>
    <dxf>
      <fill>
        <patternFill>
          <bgColor theme="4" tint="0.59999389629810485"/>
        </patternFill>
      </fill>
    </dxf>
    <dxf>
      <font>
        <color theme="0"/>
      </font>
    </dxf>
    <dxf>
      <font>
        <color theme="0"/>
      </font>
    </dxf>
    <dxf>
      <font>
        <color theme="0"/>
      </font>
    </dxf>
    <dxf>
      <fill>
        <patternFill patternType="solid">
          <bgColor theme="4"/>
        </patternFill>
      </fill>
    </dxf>
    <dxf>
      <fill>
        <patternFill patternType="solid">
          <bgColor theme="4"/>
        </patternFill>
      </fill>
    </dxf>
    <dxf>
      <font>
        <color theme="0"/>
      </font>
    </dxf>
    <dxf>
      <fill>
        <patternFill patternType="solid">
          <bgColor theme="4"/>
        </patternFill>
      </fill>
    </dxf>
    <dxf>
      <fill>
        <patternFill patternType="solid">
          <bgColor theme="4"/>
        </patternFill>
      </fill>
    </dxf>
    <dxf>
      <font>
        <color theme="1" tint="0.14999847407452621"/>
      </font>
    </dxf>
    <dxf>
      <font>
        <color theme="1" tint="0.14999847407452621"/>
      </font>
    </dxf>
    <dxf>
      <font>
        <color theme="1" tint="0.14999847407452621"/>
      </font>
    </dxf>
    <dxf>
      <font>
        <color theme="1" tint="0.14999847407452621"/>
      </font>
    </dxf>
    <dxf>
      <font>
        <color theme="1" tint="0.14999847407452621"/>
      </font>
    </dxf>
    <dxf>
      <font>
        <color theme="1" tint="0.14999847407452621"/>
      </font>
    </dxf>
    <dxf>
      <font>
        <color theme="1" tint="0.14999847407452621"/>
      </font>
    </dxf>
    <dxf>
      <font>
        <color theme="1" tint="0.14999847407452621"/>
      </font>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ont>
        <color theme="0"/>
      </font>
    </dxf>
    <dxf>
      <font>
        <color theme="0"/>
      </font>
    </dxf>
    <dxf>
      <font>
        <color theme="0"/>
      </font>
    </dxf>
    <dxf>
      <font>
        <color theme="0"/>
      </font>
    </dxf>
    <dxf>
      <font>
        <color theme="0"/>
      </font>
    </dxf>
    <dxf>
      <font>
        <color theme="0"/>
      </font>
    </dxf>
    <dxf>
      <font>
        <color theme="0"/>
      </font>
    </dxf>
    <dxf>
      <font>
        <color theme="0"/>
      </font>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ont>
        <color theme="2" tint="-0.749992370372631"/>
      </font>
    </dxf>
    <dxf>
      <font>
        <color theme="2" tint="-0.749992370372631"/>
      </font>
    </dxf>
    <dxf>
      <font>
        <color theme="2" tint="-0.749992370372631"/>
      </font>
    </dxf>
    <dxf>
      <font>
        <color theme="2" tint="-0.749992370372631"/>
      </font>
    </dxf>
    <dxf>
      <font>
        <color theme="2" tint="-0.749992370372631"/>
      </font>
    </dxf>
    <dxf>
      <font>
        <color theme="2" tint="-0.749992370372631"/>
      </font>
    </dxf>
    <dxf>
      <font>
        <color theme="2" tint="-0.749992370372631"/>
      </font>
    </dxf>
    <dxf>
      <font>
        <color theme="2" tint="-0.749992370372631"/>
      </font>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ont>
        <color theme="0"/>
      </font>
    </dxf>
    <dxf>
      <font>
        <color theme="0"/>
      </font>
    </dxf>
    <dxf>
      <font>
        <color theme="0"/>
      </font>
    </dxf>
    <dxf>
      <font>
        <color theme="0"/>
      </font>
    </dxf>
    <dxf>
      <font>
        <color theme="0"/>
      </font>
    </dxf>
    <dxf>
      <font>
        <color theme="0"/>
      </font>
    </dxf>
    <dxf>
      <font>
        <color theme="0"/>
      </font>
    </dxf>
    <dxf>
      <font>
        <color theme="0"/>
      </font>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alignment horizontal="center"/>
    </dxf>
    <dxf>
      <alignment vertical="center"/>
    </dxf>
    <dxf>
      <alignment horizontal="left"/>
    </dxf>
    <dxf>
      <alignment vertical="center"/>
    </dxf>
    <dxf>
      <font>
        <color theme="2" tint="-0.749992370372631"/>
      </font>
    </dxf>
    <dxf>
      <font>
        <color theme="2" tint="-0.749992370372631"/>
      </font>
    </dxf>
    <dxf>
      <font>
        <color theme="2" tint="-0.749992370372631"/>
      </font>
    </dxf>
    <dxf>
      <font>
        <color theme="2" tint="-0.749992370372631"/>
      </font>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ont>
        <color theme="0"/>
      </font>
    </dxf>
    <dxf>
      <font>
        <color theme="0"/>
      </font>
    </dxf>
    <dxf>
      <font>
        <color theme="0"/>
      </font>
    </dxf>
    <dxf>
      <font>
        <color theme="0"/>
      </font>
    </dxf>
    <dxf>
      <numFmt numFmtId="165" formatCode="[$₱-3409]#,##0.00;[Red][$₱-3409]#,##0.00"/>
    </dxf>
    <dxf>
      <numFmt numFmtId="165" formatCode="[$₱-3409]#,##0.00;[Red][$₱-3409]#,##0.00"/>
    </dxf>
    <dxf>
      <numFmt numFmtId="165" formatCode="[$₱-3409]#,##0.00;[Red][$₱-3409]#,##0.00"/>
    </dxf>
    <dxf>
      <numFmt numFmtId="165" formatCode="[$₱-3409]#,##0.00;[Red][$₱-3409]#,##0.00"/>
    </dxf>
    <dxf>
      <numFmt numFmtId="165" formatCode="[$₱-3409]#,##0.00;[Red][$₱-3409]#,##0.00"/>
    </dxf>
    <dxf>
      <numFmt numFmtId="165" formatCode="[$₱-3409]#,##0.00;[Red][$₱-3409]#,##0.0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dxf>
    <dxf>
      <numFmt numFmtId="0" formatCode="General"/>
    </dxf>
    <dxf>
      <numFmt numFmtId="13" formatCode="0%"/>
      <alignment horizontal="center" vertical="center" textRotation="0" wrapText="0" indent="0" justifyLastLine="0" shrinkToFit="0" readingOrder="0"/>
    </dxf>
    <dxf>
      <numFmt numFmtId="13" formatCode="0%"/>
      <alignment horizontal="center" vertical="center" textRotation="0" wrapText="0" indent="0" justifyLastLine="0" shrinkToFit="0" readingOrder="0"/>
    </dxf>
    <dxf>
      <numFmt numFmtId="165" formatCode="[$₱-3409]#,##0.00;[Red][$₱-3409]#,##0.00"/>
    </dxf>
    <dxf>
      <numFmt numFmtId="165" formatCode="[$₱-3409]#,##0.00;[Red][$₱-3409]#,##0.0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0" formatCode="General"/>
    </dxf>
    <dxf>
      <font>
        <b/>
        <strike val="0"/>
        <outline val="0"/>
        <shadow val="0"/>
        <u val="none"/>
        <vertAlign val="baseline"/>
        <sz val="11"/>
        <color theme="0"/>
        <name val="Calibri"/>
        <family val="2"/>
        <scheme val="minor"/>
      </font>
      <fill>
        <patternFill patternType="solid">
          <fgColor indexed="64"/>
          <bgColor theme="4"/>
        </patternFill>
      </fill>
      <alignment horizontal="center" vertical="center" textRotation="0" wrapText="0" indent="0" justifyLastLine="0" shrinkToFit="0" readingOrder="0"/>
      <border diagonalUp="0" diagonalDown="0">
        <left/>
        <right/>
        <top/>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 Performance Dashboard 2026.xlsx]Analysis!Net Sales By Month</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sz="1800" b="1">
                <a:solidFill>
                  <a:schemeClr val="accent1"/>
                </a:solidFill>
              </a:rPr>
              <a:t>Monthly Net Sales Trend</a:t>
            </a:r>
          </a:p>
        </c:rich>
      </c:tx>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pPr>
            <a:solidFill>
              <a:schemeClr val="accent1"/>
            </a:solidFill>
            <a:ln w="9525">
              <a:solidFill>
                <a:schemeClr val="accent1"/>
              </a:solidFill>
            </a:ln>
            <a:effectLst/>
          </c:spPr>
        </c:marker>
        <c:dLbl>
          <c:idx val="0"/>
          <c:numFmt formatCode="[&gt;=1000000]&quot;₱&quot;#,##0.000,,\ &quot;M&quot;;[&gt;=1000]&quot;₱&quot;#,##0.0,\ &quot;K&quot;;&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marker>
          <c:spPr>
            <a:solidFill>
              <a:schemeClr val="accent1"/>
            </a:solidFill>
            <a:ln w="9525">
              <a:solidFill>
                <a:schemeClr val="accent1"/>
              </a:solidFill>
            </a:ln>
            <a:effectLst/>
          </c:spPr>
        </c:marker>
      </c:pivotFmt>
      <c:pivotFmt>
        <c:idx val="4"/>
        <c:spPr>
          <a:solidFill>
            <a:schemeClr val="accent1"/>
          </a:solidFill>
          <a:ln>
            <a:noFill/>
          </a:ln>
          <a:effectLst/>
        </c:spPr>
        <c:marker>
          <c:spPr>
            <a:solidFill>
              <a:schemeClr val="accent1"/>
            </a:solidFill>
            <a:ln w="9525">
              <a:solidFill>
                <a:schemeClr val="accent1"/>
              </a:solidFill>
            </a:ln>
            <a:effectLst/>
          </c:spPr>
        </c:marker>
      </c:pivotFmt>
      <c:pivotFmt>
        <c:idx val="5"/>
        <c:spPr>
          <a:solidFill>
            <a:schemeClr val="accent1"/>
          </a:solidFill>
          <a:ln>
            <a:noFill/>
          </a:ln>
          <a:effectLst/>
        </c:spPr>
        <c:marker>
          <c:spPr>
            <a:solidFill>
              <a:schemeClr val="accent1"/>
            </a:solidFill>
            <a:ln w="9525">
              <a:solidFill>
                <a:schemeClr val="accent1"/>
              </a:solidFill>
            </a:ln>
            <a:effectLst/>
          </c:spPr>
        </c:marker>
        <c:dLbl>
          <c:idx val="0"/>
          <c:numFmt formatCode="[&gt;=1000000]&quot;₱&quot;#,##0.000,,\ &quot;M&quot;;[&gt;=1000]&quot;₱&quot;#,##0.0,\ &quot;K&quot;;&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marker>
          <c:spPr>
            <a:solidFill>
              <a:schemeClr val="accent1"/>
            </a:solidFill>
            <a:ln w="9525">
              <a:solidFill>
                <a:schemeClr val="accent1"/>
              </a:solidFill>
            </a:ln>
            <a:effectLst/>
          </c:spPr>
        </c:marker>
        <c:dLbl>
          <c:idx val="0"/>
          <c:numFmt formatCode="[&gt;=1000000]&quot;₱&quot;#,##0.000,,\ &quot;M&quot;;[&gt;=1000]&quot;₱&quot;#,##0.0,\ &quot;K&quot;;&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c:spPr>
        <c:marker>
          <c:spPr>
            <a:solidFill>
              <a:schemeClr val="accent1"/>
            </a:solidFill>
            <a:ln w="9525">
              <a:solidFill>
                <a:schemeClr val="accent1"/>
              </a:solidFill>
            </a:ln>
            <a:effectLst/>
          </c:spPr>
        </c:marker>
        <c:dLbl>
          <c:idx val="0"/>
          <c:numFmt formatCode="[&gt;=1000000]&quot;₱&quot;#,##0.000,,\ &quot;M&quot;;[&gt;=1000]&quot;₱&quot;#,##0.0,\ &quot;K&quot;;&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pPr>
            <a:solidFill>
              <a:schemeClr val="accent1"/>
            </a:solidFill>
            <a:ln w="9525">
              <a:solidFill>
                <a:schemeClr val="accent1"/>
              </a:solidFill>
            </a:ln>
            <a:effectLst/>
          </c:spPr>
        </c:marker>
        <c:dLbl>
          <c:idx val="0"/>
          <c:numFmt formatCode="[&gt;=1000000]&quot;₱&quot;#,##0.000,,\ &quot;M&quot;;[&gt;=1000]&quot;₱&quot;#,##0.0,\ &quot;K&quot;;&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a:noFill/>
          </a:ln>
          <a:effectLst/>
        </c:spPr>
        <c:marker>
          <c:spPr>
            <a:solidFill>
              <a:schemeClr val="accent1"/>
            </a:solidFill>
            <a:ln w="9525">
              <a:solidFill>
                <a:schemeClr val="accent1"/>
              </a:solidFill>
            </a:ln>
            <a:effectLst/>
          </c:spPr>
        </c:marker>
        <c:dLbl>
          <c:idx val="0"/>
          <c:numFmt formatCode="[&gt;=1000000]&quot;₱&quot;#,##0.000,,\ &quot;M&quot;;[&gt;=1000]&quot;₱&quot;#,##0.0,\ &quot;K&quot;;&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1"/>
          </a:solidFill>
          <a:ln>
            <a:noFill/>
          </a:ln>
          <a:effectLst/>
        </c:spPr>
        <c:marker>
          <c:spPr>
            <a:solidFill>
              <a:schemeClr val="accent1"/>
            </a:solidFill>
            <a:ln w="9525">
              <a:solidFill>
                <a:schemeClr val="accent1"/>
              </a:solidFill>
            </a:ln>
            <a:effectLst/>
          </c:spPr>
        </c:marker>
        <c:dLbl>
          <c:idx val="0"/>
          <c:numFmt formatCode="[&gt;=1000000]&quot;₱&quot;#,##0.000,,\ &quot;M&quot;;[&gt;=1000]&quot;₱&quot;#,##0.0,\ &quot;K&quot;;&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chemeClr val="accent1"/>
          </a:solidFill>
          <a:ln>
            <a:noFill/>
          </a:ln>
          <a:effectLst/>
        </c:spPr>
        <c:marker>
          <c:spPr>
            <a:solidFill>
              <a:schemeClr val="accent1"/>
            </a:solidFill>
            <a:ln w="9525">
              <a:solidFill>
                <a:schemeClr val="accent1"/>
              </a:solidFill>
            </a:ln>
            <a:effectLst/>
          </c:spPr>
        </c:marker>
        <c:dLbl>
          <c:idx val="0"/>
          <c:numFmt formatCode="[&gt;=1000000]&quot;₱&quot;#,##0.000,,\ &quot;M&quot;;[&gt;=1000]&quot;₱&quot;#,##0.0,\ &quot;K&quot;;&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ln w="28575" cap="rnd">
            <a:solidFill>
              <a:schemeClr val="accent1"/>
            </a:solidFill>
            <a:round/>
          </a:ln>
          <a:effectLst/>
        </c:spPr>
        <c:marker>
          <c:symbol val="square"/>
          <c:size val="5"/>
          <c:spPr>
            <a:solidFill>
              <a:schemeClr val="accent1"/>
            </a:solidFill>
            <a:ln w="9525">
              <a:solidFill>
                <a:schemeClr val="accent1"/>
              </a:solidFill>
            </a:ln>
            <a:effectLst/>
          </c:spPr>
        </c:marker>
        <c:dLbl>
          <c:idx val="0"/>
          <c:numFmt formatCode="[&gt;=1000000]&quot;₱&quot;#,##0.000,,\ &quot;M&quot;;[&gt;=1000]&quot;₱&quot;#,##0.0,\ &quot;K&quot;;&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square"/>
          <c:size val="5"/>
          <c:spPr>
            <a:solidFill>
              <a:schemeClr val="accent1"/>
            </a:solidFill>
            <a:ln w="9525">
              <a:solidFill>
                <a:schemeClr val="accent1"/>
              </a:solidFill>
            </a:ln>
            <a:effectLst/>
          </c:spPr>
        </c:marker>
        <c:dLbl>
          <c:idx val="0"/>
          <c:layout>
            <c:manualLayout>
              <c:x val="-4.6987250840966117E-2"/>
              <c:y val="4.041656823371919E-2"/>
            </c:manualLayout>
          </c:layout>
          <c:numFmt formatCode="[&gt;=1000000]&quot;₱&quot;#,##0.000,,\ &quot;M&quot;;[&gt;=1000]&quot;₱&quot;#,##0.0,\ &quot;K&quot;;&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square"/>
          <c:size val="5"/>
          <c:spPr>
            <a:solidFill>
              <a:schemeClr val="accent1"/>
            </a:solidFill>
            <a:ln w="9525">
              <a:solidFill>
                <a:schemeClr val="accent1"/>
              </a:solidFill>
            </a:ln>
            <a:effectLst/>
          </c:spPr>
        </c:marker>
        <c:dLbl>
          <c:idx val="0"/>
          <c:layout>
            <c:manualLayout>
              <c:x val="-5.1137162060582442E-2"/>
              <c:y val="4.8109372760690945E-2"/>
            </c:manualLayout>
          </c:layout>
          <c:numFmt formatCode="[&gt;=1000000]&quot;₱&quot;#,##0.000,,\ &quot;M&quot;;[&gt;=1000]&quot;₱&quot;#,##0.0,\ &quot;K&quot;;&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square"/>
          <c:size val="5"/>
          <c:spPr>
            <a:solidFill>
              <a:schemeClr val="accent1"/>
            </a:solidFill>
            <a:ln w="9525">
              <a:solidFill>
                <a:schemeClr val="accent1"/>
              </a:solidFill>
            </a:ln>
            <a:effectLst/>
          </c:spPr>
        </c:marker>
        <c:dLbl>
          <c:idx val="0"/>
          <c:layout>
            <c:manualLayout>
              <c:x val="-5.1201943171588313E-2"/>
              <c:y val="4.4468969395234724E-2"/>
            </c:manualLayout>
          </c:layout>
          <c:numFmt formatCode="[&gt;=1000000]&quot;₱&quot;#,##0.000,,\ &quot;M&quot;;[&gt;=1000]&quot;₱&quot;#,##0.0,\ &quot;K&quot;;&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Analysis!$C$4</c:f>
              <c:strCache>
                <c:ptCount val="1"/>
                <c:pt idx="0">
                  <c:v>Total</c:v>
                </c:pt>
              </c:strCache>
            </c:strRef>
          </c:tx>
          <c:spPr>
            <a:ln w="28575" cap="rnd">
              <a:solidFill>
                <a:schemeClr val="accent1"/>
              </a:solidFill>
              <a:round/>
            </a:ln>
            <a:effectLst/>
          </c:spPr>
          <c:marker>
            <c:symbol val="square"/>
            <c:size val="5"/>
            <c:spPr>
              <a:solidFill>
                <a:schemeClr val="accent1"/>
              </a:solidFill>
              <a:ln w="9525">
                <a:solidFill>
                  <a:schemeClr val="accent1"/>
                </a:solidFill>
              </a:ln>
              <a:effectLst/>
            </c:spPr>
          </c:marker>
          <c:dPt>
            <c:idx val="4"/>
            <c:marker>
              <c:symbol val="squar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0-982F-4C1E-9ED4-478A7BA553E1}"/>
              </c:ext>
            </c:extLst>
          </c:dPt>
          <c:dPt>
            <c:idx val="8"/>
            <c:marker>
              <c:symbol val="squar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1-982F-4C1E-9ED4-478A7BA553E1}"/>
              </c:ext>
            </c:extLst>
          </c:dPt>
          <c:dPt>
            <c:idx val="13"/>
            <c:marker>
              <c:symbol val="squar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2-982F-4C1E-9ED4-478A7BA553E1}"/>
              </c:ext>
            </c:extLst>
          </c:dPt>
          <c:dLbls>
            <c:dLbl>
              <c:idx val="4"/>
              <c:layout>
                <c:manualLayout>
                  <c:x val="-4.6987250840966117E-2"/>
                  <c:y val="4.04165682337191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82F-4C1E-9ED4-478A7BA553E1}"/>
                </c:ext>
              </c:extLst>
            </c:dLbl>
            <c:dLbl>
              <c:idx val="8"/>
              <c:layout>
                <c:manualLayout>
                  <c:x val="-5.1137162060582442E-2"/>
                  <c:y val="4.810937276069094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82F-4C1E-9ED4-478A7BA553E1}"/>
                </c:ext>
              </c:extLst>
            </c:dLbl>
            <c:dLbl>
              <c:idx val="13"/>
              <c:layout>
                <c:manualLayout>
                  <c:x val="-5.1201943171588313E-2"/>
                  <c:y val="4.446896939523472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82F-4C1E-9ED4-478A7BA553E1}"/>
                </c:ext>
              </c:extLst>
            </c:dLbl>
            <c:numFmt formatCode="[&gt;=1000000]&quot;₱&quot;#,##0.000,,\ &quot;M&quot;;[&gt;=1000]&quot;₱&quot;#,##0.0,\ &quot;K&quot;;&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Analysis!$B$5:$B$22</c:f>
              <c:multiLvlStrCache>
                <c:ptCount val="15"/>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January</c:v>
                  </c:pt>
                  <c:pt idx="13">
                    <c:v>February</c:v>
                  </c:pt>
                  <c:pt idx="14">
                    <c:v>March</c:v>
                  </c:pt>
                </c:lvl>
                <c:lvl>
                  <c:pt idx="0">
                    <c:v>2025</c:v>
                  </c:pt>
                  <c:pt idx="12">
                    <c:v>2026</c:v>
                  </c:pt>
                </c:lvl>
              </c:multiLvlStrCache>
            </c:multiLvlStrRef>
          </c:cat>
          <c:val>
            <c:numRef>
              <c:f>Analysis!$C$5:$C$22</c:f>
              <c:numCache>
                <c:formatCode>[$₱-3409]#,##0.00;[Red][$₱-3409]#,##0.00</c:formatCode>
                <c:ptCount val="15"/>
                <c:pt idx="0">
                  <c:v>697878</c:v>
                </c:pt>
                <c:pt idx="1">
                  <c:v>319685</c:v>
                </c:pt>
                <c:pt idx="2">
                  <c:v>127118.5</c:v>
                </c:pt>
                <c:pt idx="3">
                  <c:v>254792</c:v>
                </c:pt>
                <c:pt idx="4">
                  <c:v>255731</c:v>
                </c:pt>
                <c:pt idx="5">
                  <c:v>414663</c:v>
                </c:pt>
                <c:pt idx="6">
                  <c:v>524701.1</c:v>
                </c:pt>
                <c:pt idx="7">
                  <c:v>330526</c:v>
                </c:pt>
                <c:pt idx="8">
                  <c:v>232291</c:v>
                </c:pt>
                <c:pt idx="9">
                  <c:v>300802.5</c:v>
                </c:pt>
                <c:pt idx="10">
                  <c:v>1142820</c:v>
                </c:pt>
                <c:pt idx="11">
                  <c:v>608166.30000000005</c:v>
                </c:pt>
                <c:pt idx="12">
                  <c:v>872563</c:v>
                </c:pt>
                <c:pt idx="13">
                  <c:v>355319.2</c:v>
                </c:pt>
                <c:pt idx="14">
                  <c:v>313812.40000000002</c:v>
                </c:pt>
              </c:numCache>
            </c:numRef>
          </c:val>
          <c:smooth val="0"/>
          <c:extLst>
            <c:ext xmlns:c16="http://schemas.microsoft.com/office/drawing/2014/chart" uri="{C3380CC4-5D6E-409C-BE32-E72D297353CC}">
              <c16:uniqueId val="{00000003-982F-4C1E-9ED4-478A7BA553E1}"/>
            </c:ext>
          </c:extLst>
        </c:ser>
        <c:dLbls>
          <c:dLblPos val="t"/>
          <c:showLegendKey val="0"/>
          <c:showVal val="1"/>
          <c:showCatName val="0"/>
          <c:showSerName val="0"/>
          <c:showPercent val="0"/>
          <c:showBubbleSize val="0"/>
        </c:dLbls>
        <c:marker val="1"/>
        <c:smooth val="0"/>
        <c:axId val="1443384127"/>
        <c:axId val="1458127023"/>
      </c:lineChart>
      <c:catAx>
        <c:axId val="1443384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8127023"/>
        <c:crosses val="autoZero"/>
        <c:auto val="1"/>
        <c:lblAlgn val="ctr"/>
        <c:lblOffset val="100"/>
        <c:noMultiLvlLbl val="0"/>
      </c:catAx>
      <c:valAx>
        <c:axId val="1458127023"/>
        <c:scaling>
          <c:orientation val="minMax"/>
        </c:scaling>
        <c:delete val="1"/>
        <c:axPos val="l"/>
        <c:numFmt formatCode="[$₱-3409]#,##0.00;[Red][$₱-3409]#,##0.00" sourceLinked="1"/>
        <c:majorTickMark val="none"/>
        <c:minorTickMark val="none"/>
        <c:tickLblPos val="nextTo"/>
        <c:crossAx val="1443384127"/>
        <c:crosses val="autoZero"/>
        <c:crossBetween val="between"/>
      </c:valAx>
      <c:spPr>
        <a:noFill/>
        <a:ln w="3175">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lumMod val="60000"/>
          <a:lumOff val="4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 2026.xlsx]Analysis!Sales By Region</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accent1"/>
                </a:solidFill>
              </a:rPr>
              <a:t>Net 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l">
                <a:defRPr sz="3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tx>
            <c:rich>
              <a:bodyPr rot="0" spcFirstLastPara="1" vertOverflow="ellipsis" vert="horz" wrap="square" lIns="38100" tIns="19050" rIns="38100" bIns="19050" anchor="ctr" anchorCtr="0">
                <a:spAutoFit/>
              </a:bodyPr>
              <a:lstStyle/>
              <a:p>
                <a:pPr algn="l">
                  <a:defRPr sz="700" b="1" i="0" u="none" strike="noStrike" kern="1200" baseline="0">
                    <a:solidFill>
                      <a:schemeClr val="bg1"/>
                    </a:solidFill>
                    <a:latin typeface="+mn-lt"/>
                    <a:ea typeface="+mn-ea"/>
                    <a:cs typeface="+mn-cs"/>
                  </a:defRPr>
                </a:pPr>
                <a:fld id="{D127BD86-B48C-4DC6-8A75-75B0D5676E91}" type="VALUE">
                  <a:rPr lang="en-US" sz="700">
                    <a:solidFill>
                      <a:schemeClr val="bg1"/>
                    </a:solidFill>
                  </a:rPr>
                  <a:pPr algn="l">
                    <a:defRPr sz="700" b="1">
                      <a:solidFill>
                        <a:schemeClr val="bg1"/>
                      </a:solidFill>
                    </a:defRPr>
                  </a:pPr>
                  <a:t>[VALUE]</a:t>
                </a:fld>
                <a:endParaRPr lang="en-PH"/>
              </a:p>
            </c:rich>
          </c:tx>
          <c:spPr>
            <a:noFill/>
            <a:ln>
              <a:noFill/>
            </a:ln>
            <a:effectLst/>
          </c:spPr>
          <c:txPr>
            <a:bodyPr rot="0" spcFirstLastPara="1" vertOverflow="ellipsis" vert="horz" wrap="square" lIns="38100" tIns="19050" rIns="38100" bIns="19050" anchor="ctr" anchorCtr="0">
              <a:spAutoFit/>
            </a:bodyPr>
            <a:lstStyle/>
            <a:p>
              <a:pPr algn="l">
                <a:defRPr sz="700" b="1" i="0" u="none" strike="noStrike" kern="1200" baseline="0">
                  <a:solidFill>
                    <a:schemeClr val="bg1"/>
                  </a:solidFill>
                  <a:latin typeface="+mn-lt"/>
                  <a:ea typeface="+mn-ea"/>
                  <a:cs typeface="+mn-cs"/>
                </a:defRPr>
              </a:pPr>
              <a:endParaRPr lang="en-PH"/>
            </a:p>
          </c:txPr>
          <c:dLblPos val="inBase"/>
          <c:showLegendKey val="0"/>
          <c:showVal val="1"/>
          <c:showCatName val="0"/>
          <c:showSerName val="0"/>
          <c:showPercent val="0"/>
          <c:showBubbleSize val="0"/>
          <c:extLst>
            <c:ext xmlns:c15="http://schemas.microsoft.com/office/drawing/2012/chart" uri="{CE6537A1-D6FC-4f65-9D91-7224C49458BB}">
              <c15:layout>
                <c:manualLayout>
                  <c:w val="0.32492681804515344"/>
                  <c:h val="0.19123737399410159"/>
                </c:manualLayout>
              </c15:layout>
              <c15:dlblFieldTable/>
              <c15:showDataLabelsRange val="0"/>
            </c:ext>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0">
              <a:spAutoFit/>
            </a:bodyPr>
            <a:lstStyle/>
            <a:p>
              <a:pPr algn="l">
                <a:defRPr sz="9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layout>
                <c:manualLayout>
                  <c:w val="0.33913278156178295"/>
                  <c:h val="0.19123737399410159"/>
                </c:manualLayout>
              </c15:layout>
            </c:ext>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0">
              <a:spAutoFit/>
            </a:bodyPr>
            <a:lstStyle/>
            <a:p>
              <a:pPr algn="l">
                <a:defRPr sz="105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layout>
                <c:manualLayout>
                  <c:w val="0.3256520697271244"/>
                  <c:h val="0.19123737399410159"/>
                </c:manualLayout>
              </c15:layout>
            </c:ext>
          </c:extLst>
        </c:dLbl>
      </c:pivotFmt>
      <c:pivotFmt>
        <c:idx val="8"/>
        <c:spPr>
          <a:solidFill>
            <a:schemeClr val="accent1"/>
          </a:solidFill>
          <a:ln>
            <a:noFill/>
          </a:ln>
          <a:effectLst/>
        </c:spPr>
        <c:dLbl>
          <c:idx val="0"/>
          <c:tx>
            <c:rich>
              <a:bodyPr rot="0" spcFirstLastPara="1" vertOverflow="ellipsis" vert="horz" wrap="square" lIns="38100" tIns="19050" rIns="38100" bIns="19050" anchor="ctr" anchorCtr="0">
                <a:spAutoFit/>
              </a:bodyPr>
              <a:lstStyle/>
              <a:p>
                <a:pPr algn="l">
                  <a:defRPr sz="1100" b="1" i="0" u="none" strike="noStrike" kern="1200" baseline="0">
                    <a:solidFill>
                      <a:schemeClr val="bg1"/>
                    </a:solidFill>
                    <a:latin typeface="+mn-lt"/>
                    <a:ea typeface="+mn-ea"/>
                    <a:cs typeface="+mn-cs"/>
                  </a:defRPr>
                </a:pPr>
                <a:fld id="{1BA953FD-3C56-461E-A141-5EC821D3516A}" type="VALUE">
                  <a:rPr lang="en-US" sz="1100"/>
                  <a:pPr algn="l">
                    <a:defRPr sz="1100" b="1">
                      <a:solidFill>
                        <a:schemeClr val="bg1"/>
                      </a:solidFill>
                    </a:defRPr>
                  </a:pPr>
                  <a:t>[VALUE]</a:t>
                </a:fld>
                <a:endParaRPr lang="en-PH"/>
              </a:p>
            </c:rich>
          </c:tx>
          <c:spPr>
            <a:noFill/>
            <a:ln>
              <a:noFill/>
            </a:ln>
            <a:effectLst/>
          </c:spPr>
          <c:txPr>
            <a:bodyPr rot="0" spcFirstLastPara="1" vertOverflow="ellipsis" vert="horz" wrap="square" lIns="38100" tIns="19050" rIns="38100" bIns="19050" anchor="ctr" anchorCtr="0">
              <a:spAutoFit/>
            </a:bodyPr>
            <a:lstStyle/>
            <a:p>
              <a:pPr algn="l">
                <a:defRPr sz="1100" b="1" i="0" u="none" strike="noStrike" kern="1200" baseline="0">
                  <a:solidFill>
                    <a:schemeClr val="bg1"/>
                  </a:solidFill>
                  <a:latin typeface="+mn-lt"/>
                  <a:ea typeface="+mn-ea"/>
                  <a:cs typeface="+mn-cs"/>
                </a:defRPr>
              </a:pPr>
              <a:endParaRPr lang="en-PH"/>
            </a:p>
          </c:txPr>
          <c:dLblPos val="inBase"/>
          <c:showLegendKey val="0"/>
          <c:showVal val="1"/>
          <c:showCatName val="0"/>
          <c:showSerName val="0"/>
          <c:showPercent val="0"/>
          <c:showBubbleSize val="0"/>
          <c:extLst>
            <c:ext xmlns:c15="http://schemas.microsoft.com/office/drawing/2012/chart" uri="{CE6537A1-D6FC-4f65-9D91-7224C49458BB}">
              <c15:layout>
                <c:manualLayout>
                  <c:w val="0.28293486657634354"/>
                  <c:h val="0.1881886149003148"/>
                </c:manualLayout>
              </c15:layout>
              <c15:dlblFieldTable/>
              <c15:showDataLabelsRange val="0"/>
            </c:ext>
          </c:extLst>
        </c:dLbl>
      </c:pivotFmt>
    </c:pivotFmts>
    <c:plotArea>
      <c:layout/>
      <c:barChart>
        <c:barDir val="bar"/>
        <c:grouping val="clustered"/>
        <c:varyColors val="0"/>
        <c:ser>
          <c:idx val="0"/>
          <c:order val="0"/>
          <c:tx>
            <c:strRef>
              <c:f>Analysis!$C$27</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4-2C42-4362-8714-BFA84EB649A6}"/>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3-2C42-4362-8714-BFA84EB649A6}"/>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2-2C42-4362-8714-BFA84EB649A6}"/>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1-2C42-4362-8714-BFA84EB649A6}"/>
              </c:ext>
            </c:extLst>
          </c:dPt>
          <c:dLbls>
            <c:dLbl>
              <c:idx val="0"/>
              <c:tx>
                <c:rich>
                  <a:bodyPr rot="0" spcFirstLastPara="1" vertOverflow="ellipsis" vert="horz" wrap="square" lIns="38100" tIns="19050" rIns="38100" bIns="19050" anchor="ctr" anchorCtr="0">
                    <a:spAutoFit/>
                  </a:bodyPr>
                  <a:lstStyle/>
                  <a:p>
                    <a:pPr algn="l">
                      <a:defRPr sz="1100" b="1" i="0" u="none" strike="noStrike" kern="1200" baseline="0">
                        <a:solidFill>
                          <a:schemeClr val="bg1"/>
                        </a:solidFill>
                        <a:latin typeface="+mn-lt"/>
                        <a:ea typeface="+mn-ea"/>
                        <a:cs typeface="+mn-cs"/>
                      </a:defRPr>
                    </a:pPr>
                    <a:fld id="{1BA953FD-3C56-461E-A141-5EC821D3516A}" type="VALUE">
                      <a:rPr lang="en-US" sz="1100"/>
                      <a:pPr algn="l">
                        <a:defRPr sz="1100" b="1">
                          <a:solidFill>
                            <a:schemeClr val="bg1"/>
                          </a:solidFill>
                        </a:defRPr>
                      </a:pPr>
                      <a:t>[VALUE]</a:t>
                    </a:fld>
                    <a:endParaRPr lang="en-PH"/>
                  </a:p>
                </c:rich>
              </c:tx>
              <c:spPr>
                <a:noFill/>
                <a:ln>
                  <a:noFill/>
                </a:ln>
                <a:effectLst/>
              </c:spPr>
              <c:txPr>
                <a:bodyPr rot="0" spcFirstLastPara="1" vertOverflow="ellipsis" vert="horz" wrap="square" lIns="38100" tIns="19050" rIns="38100" bIns="19050" anchor="ctr" anchorCtr="0">
                  <a:spAutoFit/>
                </a:bodyPr>
                <a:lstStyle/>
                <a:p>
                  <a:pPr algn="l">
                    <a:defRPr sz="1100" b="1" i="0" u="none" strike="noStrike" kern="1200" baseline="0">
                      <a:solidFill>
                        <a:schemeClr val="bg1"/>
                      </a:solidFill>
                      <a:latin typeface="+mn-lt"/>
                      <a:ea typeface="+mn-ea"/>
                      <a:cs typeface="+mn-cs"/>
                    </a:defRPr>
                  </a:pPr>
                  <a:endParaRPr lang="en-PH"/>
                </a:p>
              </c:txPr>
              <c:dLblPos val="inBase"/>
              <c:showLegendKey val="0"/>
              <c:showVal val="1"/>
              <c:showCatName val="0"/>
              <c:showSerName val="0"/>
              <c:showPercent val="0"/>
              <c:showBubbleSize val="0"/>
              <c:extLst>
                <c:ext xmlns:c15="http://schemas.microsoft.com/office/drawing/2012/chart" uri="{CE6537A1-D6FC-4f65-9D91-7224C49458BB}">
                  <c15:layout>
                    <c:manualLayout>
                      <c:w val="0.28293486657634354"/>
                      <c:h val="0.1881886149003148"/>
                    </c:manualLayout>
                  </c15:layout>
                  <c15:dlblFieldTable/>
                  <c15:showDataLabelsRange val="0"/>
                </c:ext>
                <c:ext xmlns:c16="http://schemas.microsoft.com/office/drawing/2014/chart" uri="{C3380CC4-5D6E-409C-BE32-E72D297353CC}">
                  <c16:uniqueId val="{00000004-2C42-4362-8714-BFA84EB649A6}"/>
                </c:ext>
              </c:extLst>
            </c:dLbl>
            <c:dLbl>
              <c:idx val="1"/>
              <c:spPr>
                <a:noFill/>
                <a:ln>
                  <a:noFill/>
                </a:ln>
                <a:effectLst/>
              </c:spPr>
              <c:txPr>
                <a:bodyPr rot="0" spcFirstLastPara="1" vertOverflow="ellipsis" vert="horz" wrap="square" lIns="38100" tIns="19050" rIns="38100" bIns="19050" anchor="ctr" anchorCtr="0">
                  <a:spAutoFit/>
                </a:bodyPr>
                <a:lstStyle/>
                <a:p>
                  <a:pPr algn="l">
                    <a:defRPr sz="105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layout>
                    <c:manualLayout>
                      <c:w val="0.3256520697271244"/>
                      <c:h val="0.19123737399410159"/>
                    </c:manualLayout>
                  </c15:layout>
                </c:ext>
                <c:ext xmlns:c16="http://schemas.microsoft.com/office/drawing/2014/chart" uri="{C3380CC4-5D6E-409C-BE32-E72D297353CC}">
                  <c16:uniqueId val="{00000003-2C42-4362-8714-BFA84EB649A6}"/>
                </c:ext>
              </c:extLst>
            </c:dLbl>
            <c:dLbl>
              <c:idx val="2"/>
              <c:spPr>
                <a:noFill/>
                <a:ln>
                  <a:noFill/>
                </a:ln>
                <a:effectLst/>
              </c:spPr>
              <c:txPr>
                <a:bodyPr rot="0" spcFirstLastPara="1" vertOverflow="ellipsis" vert="horz" wrap="square" lIns="38100" tIns="19050" rIns="38100" bIns="19050" anchor="ctr" anchorCtr="0">
                  <a:spAutoFit/>
                </a:bodyPr>
                <a:lstStyle/>
                <a:p>
                  <a:pPr algn="l">
                    <a:defRPr sz="9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layout>
                    <c:manualLayout>
                      <c:w val="0.33913278156178295"/>
                      <c:h val="0.19123737399410159"/>
                    </c:manualLayout>
                  </c15:layout>
                </c:ext>
                <c:ext xmlns:c16="http://schemas.microsoft.com/office/drawing/2014/chart" uri="{C3380CC4-5D6E-409C-BE32-E72D297353CC}">
                  <c16:uniqueId val="{00000002-2C42-4362-8714-BFA84EB649A6}"/>
                </c:ext>
              </c:extLst>
            </c:dLbl>
            <c:dLbl>
              <c:idx val="3"/>
              <c:tx>
                <c:rich>
                  <a:bodyPr rot="0" spcFirstLastPara="1" vertOverflow="ellipsis" vert="horz" wrap="square" lIns="38100" tIns="19050" rIns="38100" bIns="19050" anchor="ctr" anchorCtr="0">
                    <a:spAutoFit/>
                  </a:bodyPr>
                  <a:lstStyle/>
                  <a:p>
                    <a:pPr algn="l">
                      <a:defRPr sz="700" b="1" i="0" u="none" strike="noStrike" kern="1200" baseline="0">
                        <a:solidFill>
                          <a:schemeClr val="bg1"/>
                        </a:solidFill>
                        <a:latin typeface="+mn-lt"/>
                        <a:ea typeface="+mn-ea"/>
                        <a:cs typeface="+mn-cs"/>
                      </a:defRPr>
                    </a:pPr>
                    <a:fld id="{D127BD86-B48C-4DC6-8A75-75B0D5676E91}" type="VALUE">
                      <a:rPr lang="en-US" sz="700">
                        <a:solidFill>
                          <a:schemeClr val="bg1"/>
                        </a:solidFill>
                      </a:rPr>
                      <a:pPr algn="l">
                        <a:defRPr sz="700" b="1">
                          <a:solidFill>
                            <a:schemeClr val="bg1"/>
                          </a:solidFill>
                        </a:defRPr>
                      </a:pPr>
                      <a:t>[VALUE]</a:t>
                    </a:fld>
                    <a:endParaRPr lang="en-PH"/>
                  </a:p>
                </c:rich>
              </c:tx>
              <c:spPr>
                <a:noFill/>
                <a:ln>
                  <a:noFill/>
                </a:ln>
                <a:effectLst/>
              </c:spPr>
              <c:txPr>
                <a:bodyPr rot="0" spcFirstLastPara="1" vertOverflow="ellipsis" vert="horz" wrap="square" lIns="38100" tIns="19050" rIns="38100" bIns="19050" anchor="ctr" anchorCtr="0">
                  <a:spAutoFit/>
                </a:bodyPr>
                <a:lstStyle/>
                <a:p>
                  <a:pPr algn="l">
                    <a:defRPr sz="700" b="1" i="0" u="none" strike="noStrike" kern="1200" baseline="0">
                      <a:solidFill>
                        <a:schemeClr val="bg1"/>
                      </a:solidFill>
                      <a:latin typeface="+mn-lt"/>
                      <a:ea typeface="+mn-ea"/>
                      <a:cs typeface="+mn-cs"/>
                    </a:defRPr>
                  </a:pPr>
                  <a:endParaRPr lang="en-PH"/>
                </a:p>
              </c:txPr>
              <c:dLblPos val="inBase"/>
              <c:showLegendKey val="0"/>
              <c:showVal val="1"/>
              <c:showCatName val="0"/>
              <c:showSerName val="0"/>
              <c:showPercent val="0"/>
              <c:showBubbleSize val="0"/>
              <c:extLst>
                <c:ext xmlns:c15="http://schemas.microsoft.com/office/drawing/2012/chart" uri="{CE6537A1-D6FC-4f65-9D91-7224C49458BB}">
                  <c15:layout>
                    <c:manualLayout>
                      <c:w val="0.32492681804515344"/>
                      <c:h val="0.19123737399410159"/>
                    </c:manualLayout>
                  </c15:layout>
                  <c15:dlblFieldTable/>
                  <c15:showDataLabelsRange val="0"/>
                </c:ext>
                <c:ext xmlns:c16="http://schemas.microsoft.com/office/drawing/2014/chart" uri="{C3380CC4-5D6E-409C-BE32-E72D297353CC}">
                  <c16:uniqueId val="{00000001-2C42-4362-8714-BFA84EB649A6}"/>
                </c:ext>
              </c:extLst>
            </c:dLbl>
            <c:spPr>
              <a:noFill/>
              <a:ln>
                <a:noFill/>
              </a:ln>
              <a:effectLst/>
            </c:spPr>
            <c:txPr>
              <a:bodyPr rot="0" spcFirstLastPara="1" vertOverflow="ellipsis" vert="horz" wrap="square" lIns="38100" tIns="19050" rIns="38100" bIns="19050" anchor="ctr" anchorCtr="0">
                <a:spAutoFit/>
              </a:bodyPr>
              <a:lstStyle/>
              <a:p>
                <a:pPr algn="l">
                  <a:defRPr sz="3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Analysis!$B$28:$B$32</c:f>
              <c:strCache>
                <c:ptCount val="4"/>
                <c:pt idx="0">
                  <c:v>South</c:v>
                </c:pt>
                <c:pt idx="1">
                  <c:v>North</c:v>
                </c:pt>
                <c:pt idx="2">
                  <c:v>West</c:v>
                </c:pt>
                <c:pt idx="3">
                  <c:v>East</c:v>
                </c:pt>
              </c:strCache>
            </c:strRef>
          </c:cat>
          <c:val>
            <c:numRef>
              <c:f>Analysis!$C$28:$C$32</c:f>
              <c:numCache>
                <c:formatCode>[$₱-3409]#,##0.00;[Red][$₱-3409]#,##0.00</c:formatCode>
                <c:ptCount val="4"/>
                <c:pt idx="0">
                  <c:v>2993106.3</c:v>
                </c:pt>
                <c:pt idx="1">
                  <c:v>1568227.2000000002</c:v>
                </c:pt>
                <c:pt idx="2">
                  <c:v>1411861.5</c:v>
                </c:pt>
                <c:pt idx="3">
                  <c:v>777674</c:v>
                </c:pt>
              </c:numCache>
            </c:numRef>
          </c:val>
          <c:extLst>
            <c:ext xmlns:c16="http://schemas.microsoft.com/office/drawing/2014/chart" uri="{C3380CC4-5D6E-409C-BE32-E72D297353CC}">
              <c16:uniqueId val="{00000000-2C42-4362-8714-BFA84EB649A6}"/>
            </c:ext>
          </c:extLst>
        </c:ser>
        <c:dLbls>
          <c:dLblPos val="outEnd"/>
          <c:showLegendKey val="0"/>
          <c:showVal val="1"/>
          <c:showCatName val="0"/>
          <c:showSerName val="0"/>
          <c:showPercent val="0"/>
          <c:showBubbleSize val="0"/>
        </c:dLbls>
        <c:gapWidth val="138"/>
        <c:overlap val="-11"/>
        <c:axId val="1933440111"/>
        <c:axId val="1458092463"/>
      </c:barChart>
      <c:catAx>
        <c:axId val="19334401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8092463"/>
        <c:crosses val="autoZero"/>
        <c:auto val="1"/>
        <c:lblAlgn val="ctr"/>
        <c:lblOffset val="100"/>
        <c:noMultiLvlLbl val="0"/>
      </c:catAx>
      <c:valAx>
        <c:axId val="1458092463"/>
        <c:scaling>
          <c:orientation val="minMax"/>
        </c:scaling>
        <c:delete val="1"/>
        <c:axPos val="b"/>
        <c:numFmt formatCode="[$₱-3409]#,##0.00;[Red][$₱-3409]#,##0.00" sourceLinked="1"/>
        <c:majorTickMark val="none"/>
        <c:minorTickMark val="none"/>
        <c:tickLblPos val="nextTo"/>
        <c:crossAx val="1933440111"/>
        <c:crosses val="autoZero"/>
        <c:crossBetween val="between"/>
      </c:valAx>
      <c:spPr>
        <a:noFill/>
        <a:ln>
          <a:solidFill>
            <a:schemeClr val="bg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lumMod val="60000"/>
          <a:lumOff val="4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 2026.xlsx]Analysis!Customer Type Performance 1</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accent1"/>
                </a:solidFill>
              </a:rPr>
              <a:t>Net Sales By Customer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20000"/>
              <a:lumOff val="80000"/>
            </a:schemeClr>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lumMod val="20000"/>
              <a:lumOff val="80000"/>
            </a:schemeClr>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
              <c:y val="-0.13665653327984728"/>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7.5186647294180012E-3"/>
              <c:y val="-0.1093252266238778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lumMod val="40000"/>
              <a:lumOff val="60000"/>
            </a:schemeClr>
          </a:solidFill>
          <a:ln w="19050">
            <a:solidFill>
              <a:schemeClr val="lt1"/>
            </a:solidFill>
          </a:ln>
          <a:effectLst/>
        </c:spPr>
        <c:dLbl>
          <c:idx val="0"/>
          <c:layout>
            <c:manualLayout>
              <c:x val="-4.5191048994062372E-2"/>
              <c:y val="-0.12512056979963784"/>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Analysis!$L$13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D6C-464D-9264-FE2D45F35E5D}"/>
              </c:ext>
            </c:extLst>
          </c:dPt>
          <c:dPt>
            <c:idx val="1"/>
            <c:bubble3D val="0"/>
            <c:spPr>
              <a:solidFill>
                <a:schemeClr val="accent1">
                  <a:lumMod val="40000"/>
                  <a:lumOff val="60000"/>
                </a:schemeClr>
              </a:solidFill>
              <a:ln w="19050">
                <a:solidFill>
                  <a:schemeClr val="lt1"/>
                </a:solidFill>
              </a:ln>
              <a:effectLst/>
            </c:spPr>
            <c:extLst>
              <c:ext xmlns:c16="http://schemas.microsoft.com/office/drawing/2014/chart" uri="{C3380CC4-5D6E-409C-BE32-E72D297353CC}">
                <c16:uniqueId val="{00000003-8D6C-464D-9264-FE2D45F35E5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D6C-464D-9264-FE2D45F35E5D}"/>
              </c:ext>
            </c:extLst>
          </c:dPt>
          <c:dLbls>
            <c:dLbl>
              <c:idx val="0"/>
              <c:layout>
                <c:manualLayout>
                  <c:x val="0"/>
                  <c:y val="-0.1366565332798472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D6C-464D-9264-FE2D45F35E5D}"/>
                </c:ext>
              </c:extLst>
            </c:dLbl>
            <c:dLbl>
              <c:idx val="1"/>
              <c:layout>
                <c:manualLayout>
                  <c:x val="-4.5191048994062372E-2"/>
                  <c:y val="-0.1251205697996378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D6C-464D-9264-FE2D45F35E5D}"/>
                </c:ext>
              </c:extLst>
            </c:dLbl>
            <c:dLbl>
              <c:idx val="2"/>
              <c:layout>
                <c:manualLayout>
                  <c:x val="7.5186647294180012E-3"/>
                  <c:y val="-0.1093252266238778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D6C-464D-9264-FE2D45F35E5D}"/>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Analysis!$K$14:$K$17</c:f>
              <c:strCache>
                <c:ptCount val="3"/>
                <c:pt idx="0">
                  <c:v>Retail</c:v>
                </c:pt>
                <c:pt idx="1">
                  <c:v>Government</c:v>
                </c:pt>
                <c:pt idx="2">
                  <c:v>Corporate</c:v>
                </c:pt>
              </c:strCache>
            </c:strRef>
          </c:cat>
          <c:val>
            <c:numRef>
              <c:f>Analysis!$L$14:$L$17</c:f>
              <c:numCache>
                <c:formatCode>[$₱-3409]#,##0.00;[Red][$₱-3409]#,##0.00</c:formatCode>
                <c:ptCount val="3"/>
                <c:pt idx="0">
                  <c:v>4881738</c:v>
                </c:pt>
                <c:pt idx="1">
                  <c:v>1108726.4000000001</c:v>
                </c:pt>
                <c:pt idx="2">
                  <c:v>760404.6</c:v>
                </c:pt>
              </c:numCache>
            </c:numRef>
          </c:val>
          <c:extLst>
            <c:ext xmlns:c16="http://schemas.microsoft.com/office/drawing/2014/chart" uri="{C3380CC4-5D6E-409C-BE32-E72D297353CC}">
              <c16:uniqueId val="{00000006-8D6C-464D-9264-FE2D45F35E5D}"/>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lumMod val="60000"/>
          <a:lumOff val="4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 2026.xlsx]Analysis!PivotTableProductCategory</c:name>
    <c:fmtId val="14"/>
  </c:pivotSource>
  <c:chart>
    <c:title>
      <c:tx>
        <c:rich>
          <a:bodyPr rot="0" spcFirstLastPara="1" vertOverflow="ellipsis" vert="horz" wrap="square" anchor="ctr" anchorCtr="1"/>
          <a:lstStyle/>
          <a:p>
            <a:pPr>
              <a:defRPr sz="1800" b="1" i="0" u="none" strike="noStrike" kern="1200" spc="0" baseline="0">
                <a:solidFill>
                  <a:schemeClr val="accent1"/>
                </a:solidFill>
                <a:latin typeface="+mn-lt"/>
                <a:ea typeface="+mn-ea"/>
                <a:cs typeface="+mn-cs"/>
              </a:defRPr>
            </a:pPr>
            <a:r>
              <a:rPr lang="en-US" sz="1800" b="1">
                <a:solidFill>
                  <a:schemeClr val="accent1"/>
                </a:solidFill>
              </a:rPr>
              <a:t>Net Sales By Product</a:t>
            </a:r>
            <a:r>
              <a:rPr lang="en-US" sz="1800" b="1" baseline="0">
                <a:solidFill>
                  <a:schemeClr val="accent1"/>
                </a:solidFill>
              </a:rPr>
              <a:t> Category</a:t>
            </a:r>
            <a:endParaRPr lang="en-US" sz="1800" b="1">
              <a:solidFill>
                <a:schemeClr val="accent1"/>
              </a:solidFill>
            </a:endParaRP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accent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Analysis!$C$88</c:f>
              <c:strCache>
                <c:ptCount val="1"/>
                <c:pt idx="0">
                  <c:v>Total</c:v>
                </c:pt>
              </c:strCache>
            </c:strRef>
          </c:tx>
          <c:spPr>
            <a:solidFill>
              <a:schemeClr val="accent1"/>
            </a:solidFill>
            <a:ln>
              <a:noFill/>
            </a:ln>
            <a:effectLst/>
            <a:sp3d/>
          </c:spPr>
          <c:invertIfNegative val="0"/>
          <c:cat>
            <c:strRef>
              <c:f>Analysis!$B$89:$B$92</c:f>
              <c:strCache>
                <c:ptCount val="3"/>
                <c:pt idx="0">
                  <c:v>Electronics</c:v>
                </c:pt>
                <c:pt idx="1">
                  <c:v>Furniture</c:v>
                </c:pt>
                <c:pt idx="2">
                  <c:v>Office Supplies</c:v>
                </c:pt>
              </c:strCache>
            </c:strRef>
          </c:cat>
          <c:val>
            <c:numRef>
              <c:f>Analysis!$C$89:$C$92</c:f>
              <c:numCache>
                <c:formatCode>[$₱-3409]#,##0.00;[Red][$₱-3409]#,##0.00</c:formatCode>
                <c:ptCount val="3"/>
                <c:pt idx="0">
                  <c:v>3581369</c:v>
                </c:pt>
                <c:pt idx="1">
                  <c:v>2726120</c:v>
                </c:pt>
                <c:pt idx="2">
                  <c:v>443379.99999999994</c:v>
                </c:pt>
              </c:numCache>
            </c:numRef>
          </c:val>
          <c:extLst>
            <c:ext xmlns:c16="http://schemas.microsoft.com/office/drawing/2014/chart" uri="{C3380CC4-5D6E-409C-BE32-E72D297353CC}">
              <c16:uniqueId val="{00000000-82D8-4640-9C37-971C0040881D}"/>
            </c:ext>
          </c:extLst>
        </c:ser>
        <c:dLbls>
          <c:showLegendKey val="0"/>
          <c:showVal val="0"/>
          <c:showCatName val="0"/>
          <c:showSerName val="0"/>
          <c:showPercent val="0"/>
          <c:showBubbleSize val="0"/>
        </c:dLbls>
        <c:gapWidth val="150"/>
        <c:shape val="box"/>
        <c:axId val="1096531504"/>
        <c:axId val="1073249072"/>
        <c:axId val="0"/>
      </c:bar3DChart>
      <c:catAx>
        <c:axId val="1096531504"/>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3249072"/>
        <c:crosses val="autoZero"/>
        <c:auto val="1"/>
        <c:lblAlgn val="ctr"/>
        <c:lblOffset val="100"/>
        <c:noMultiLvlLbl val="0"/>
      </c:catAx>
      <c:valAx>
        <c:axId val="1073249072"/>
        <c:scaling>
          <c:orientation val="minMax"/>
        </c:scaling>
        <c:delete val="0"/>
        <c:axPos val="l"/>
        <c:majorGridlines>
          <c:spPr>
            <a:ln w="9525" cap="flat" cmpd="sng" algn="ctr">
              <a:solidFill>
                <a:schemeClr val="tx1">
                  <a:lumMod val="15000"/>
                  <a:lumOff val="85000"/>
                </a:schemeClr>
              </a:solidFill>
              <a:round/>
            </a:ln>
            <a:effectLst/>
          </c:spPr>
        </c:majorGridlines>
        <c:numFmt formatCode="[$₱-3409]#,##0.00;[Red][$₱-3409]#,##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653150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lumMod val="60000"/>
          <a:lumOff val="4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 2026.xlsx]Analysis!PivotTableProducts</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accent1"/>
                </a:solidFill>
              </a:rPr>
              <a:t>Top 5 Products By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solidFill>
                <a:schemeClr val="accent1">
                  <a:lumMod val="60000"/>
                  <a:lumOff val="40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Analysis!$G$90</c:f>
              <c:strCache>
                <c:ptCount val="1"/>
                <c:pt idx="0">
                  <c:v>Total</c:v>
                </c:pt>
              </c:strCache>
            </c:strRef>
          </c:tx>
          <c:spPr>
            <a:solidFill>
              <a:schemeClr val="accent1"/>
            </a:solidFill>
            <a:ln>
              <a:noFill/>
            </a:ln>
            <a:effectLst/>
          </c:spPr>
          <c:invertIfNegative val="0"/>
          <c:dLbls>
            <c:spPr>
              <a:noFill/>
              <a:ln>
                <a:solidFill>
                  <a:schemeClr val="accent1">
                    <a:lumMod val="60000"/>
                    <a:lumOff val="40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Analysis!$F$91:$F$96</c:f>
              <c:strCache>
                <c:ptCount val="5"/>
                <c:pt idx="0">
                  <c:v>Laptop</c:v>
                </c:pt>
                <c:pt idx="1">
                  <c:v>Table</c:v>
                </c:pt>
                <c:pt idx="2">
                  <c:v>Desk</c:v>
                </c:pt>
                <c:pt idx="3">
                  <c:v>Monitor</c:v>
                </c:pt>
                <c:pt idx="4">
                  <c:v>Projector</c:v>
                </c:pt>
              </c:strCache>
            </c:strRef>
          </c:cat>
          <c:val>
            <c:numRef>
              <c:f>Analysis!$G$91:$G$96</c:f>
              <c:numCache>
                <c:formatCode>[$₱-3409]#,##0.00;[Red][$₱-3409]#,##0.00</c:formatCode>
                <c:ptCount val="5"/>
                <c:pt idx="0">
                  <c:v>2277000</c:v>
                </c:pt>
                <c:pt idx="1">
                  <c:v>892125</c:v>
                </c:pt>
                <c:pt idx="2">
                  <c:v>809370</c:v>
                </c:pt>
                <c:pt idx="3">
                  <c:v>703500</c:v>
                </c:pt>
                <c:pt idx="4">
                  <c:v>470250</c:v>
                </c:pt>
              </c:numCache>
            </c:numRef>
          </c:val>
          <c:extLst>
            <c:ext xmlns:c16="http://schemas.microsoft.com/office/drawing/2014/chart" uri="{C3380CC4-5D6E-409C-BE32-E72D297353CC}">
              <c16:uniqueId val="{00000000-25BA-4CE0-B7C9-A71EE18C4C88}"/>
            </c:ext>
          </c:extLst>
        </c:ser>
        <c:dLbls>
          <c:dLblPos val="outEnd"/>
          <c:showLegendKey val="0"/>
          <c:showVal val="1"/>
          <c:showCatName val="0"/>
          <c:showSerName val="0"/>
          <c:showPercent val="0"/>
          <c:showBubbleSize val="0"/>
        </c:dLbls>
        <c:gapWidth val="219"/>
        <c:overlap val="-27"/>
        <c:axId val="1096565376"/>
        <c:axId val="1153315216"/>
      </c:barChart>
      <c:catAx>
        <c:axId val="1096565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3315216"/>
        <c:crosses val="autoZero"/>
        <c:auto val="1"/>
        <c:lblAlgn val="ctr"/>
        <c:lblOffset val="100"/>
        <c:noMultiLvlLbl val="0"/>
      </c:catAx>
      <c:valAx>
        <c:axId val="1153315216"/>
        <c:scaling>
          <c:orientation val="minMax"/>
        </c:scaling>
        <c:delete val="0"/>
        <c:axPos val="l"/>
        <c:numFmt formatCode="[$₱-3409]#,##0.00;[Red][$₱-3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6565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5.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3.xml"/><Relationship Id="rId5" Type="http://schemas.openxmlformats.org/officeDocument/2006/relationships/image" Target="../media/image5.png"/><Relationship Id="rId10" Type="http://schemas.openxmlformats.org/officeDocument/2006/relationships/chart" Target="../charts/chart2.xml"/><Relationship Id="rId4" Type="http://schemas.openxmlformats.org/officeDocument/2006/relationships/image" Target="../media/image4.svg"/><Relationship Id="rId9"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absolute">
    <xdr:from>
      <xdr:col>0</xdr:col>
      <xdr:colOff>46927</xdr:colOff>
      <xdr:row>3</xdr:row>
      <xdr:rowOff>30980</xdr:rowOff>
    </xdr:from>
    <xdr:to>
      <xdr:col>2</xdr:col>
      <xdr:colOff>557888</xdr:colOff>
      <xdr:row>11</xdr:row>
      <xdr:rowOff>36115</xdr:rowOff>
    </xdr:to>
    <mc:AlternateContent xmlns:mc="http://schemas.openxmlformats.org/markup-compatibility/2006" xmlns:a14="http://schemas.microsoft.com/office/drawing/2010/main">
      <mc:Choice Requires="a14">
        <xdr:graphicFrame macro="">
          <xdr:nvGraphicFramePr>
            <xdr:cNvPr id="3" name="Region 1">
              <a:extLst>
                <a:ext uri="{FF2B5EF4-FFF2-40B4-BE49-F238E27FC236}">
                  <a16:creationId xmlns:a16="http://schemas.microsoft.com/office/drawing/2014/main" id="{94B2D2EB-7608-48CB-8EA8-02D4EA6B71CA}"/>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46927" y="824730"/>
              <a:ext cx="1721430" cy="1513260"/>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46670</xdr:colOff>
      <xdr:row>11</xdr:row>
      <xdr:rowOff>117735</xdr:rowOff>
    </xdr:from>
    <xdr:to>
      <xdr:col>2</xdr:col>
      <xdr:colOff>558144</xdr:colOff>
      <xdr:row>18</xdr:row>
      <xdr:rowOff>9941</xdr:rowOff>
    </xdr:to>
    <mc:AlternateContent xmlns:mc="http://schemas.openxmlformats.org/markup-compatibility/2006" xmlns:a14="http://schemas.microsoft.com/office/drawing/2010/main">
      <mc:Choice Requires="a14">
        <xdr:graphicFrame macro="">
          <xdr:nvGraphicFramePr>
            <xdr:cNvPr id="4" name="Product Category 1">
              <a:extLst>
                <a:ext uri="{FF2B5EF4-FFF2-40B4-BE49-F238E27FC236}">
                  <a16:creationId xmlns:a16="http://schemas.microsoft.com/office/drawing/2014/main" id="{99920BDE-0CBF-42CF-B743-F4BA58C2A5F2}"/>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mlns="">
        <xdr:sp macro="" textlink="">
          <xdr:nvSpPr>
            <xdr:cNvPr id="0" name=""/>
            <xdr:cNvSpPr>
              <a:spLocks noTextEdit="1"/>
            </xdr:cNvSpPr>
          </xdr:nvSpPr>
          <xdr:spPr>
            <a:xfrm>
              <a:off x="46670" y="2419610"/>
              <a:ext cx="1721943" cy="1211815"/>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46670</xdr:colOff>
      <xdr:row>18</xdr:row>
      <xdr:rowOff>95926</xdr:rowOff>
    </xdr:from>
    <xdr:to>
      <xdr:col>2</xdr:col>
      <xdr:colOff>558144</xdr:colOff>
      <xdr:row>24</xdr:row>
      <xdr:rowOff>175468</xdr:rowOff>
    </xdr:to>
    <mc:AlternateContent xmlns:mc="http://schemas.openxmlformats.org/markup-compatibility/2006" xmlns:a14="http://schemas.microsoft.com/office/drawing/2010/main">
      <mc:Choice Requires="a14">
        <xdr:graphicFrame macro="">
          <xdr:nvGraphicFramePr>
            <xdr:cNvPr id="5" name="Customer Type 1">
              <a:extLst>
                <a:ext uri="{FF2B5EF4-FFF2-40B4-BE49-F238E27FC236}">
                  <a16:creationId xmlns:a16="http://schemas.microsoft.com/office/drawing/2014/main" id="{3D6758C8-3C9D-49EE-A9A9-83C835E85D79}"/>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ustomer Type 1"/>
            </a:graphicData>
          </a:graphic>
        </xdr:graphicFrame>
      </mc:Choice>
      <mc:Fallback xmlns="">
        <xdr:sp macro="" textlink="">
          <xdr:nvSpPr>
            <xdr:cNvPr id="0" name=""/>
            <xdr:cNvSpPr>
              <a:spLocks noTextEdit="1"/>
            </xdr:cNvSpPr>
          </xdr:nvSpPr>
          <xdr:spPr>
            <a:xfrm>
              <a:off x="46670" y="3717410"/>
              <a:ext cx="1721943" cy="1210636"/>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46670</xdr:colOff>
      <xdr:row>25</xdr:row>
      <xdr:rowOff>72938</xdr:rowOff>
    </xdr:from>
    <xdr:to>
      <xdr:col>2</xdr:col>
      <xdr:colOff>558144</xdr:colOff>
      <xdr:row>43</xdr:row>
      <xdr:rowOff>8021</xdr:rowOff>
    </xdr:to>
    <mc:AlternateContent xmlns:mc="http://schemas.openxmlformats.org/markup-compatibility/2006" xmlns:a14="http://schemas.microsoft.com/office/drawing/2010/main">
      <mc:Choice Requires="a14">
        <xdr:graphicFrame macro="">
          <xdr:nvGraphicFramePr>
            <xdr:cNvPr id="6" name="Saleperson 1">
              <a:extLst>
                <a:ext uri="{FF2B5EF4-FFF2-40B4-BE49-F238E27FC236}">
                  <a16:creationId xmlns:a16="http://schemas.microsoft.com/office/drawing/2014/main" id="{E1B1FE9C-8B68-424B-B61E-99E3D75512D4}"/>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aleperson 1"/>
            </a:graphicData>
          </a:graphic>
        </xdr:graphicFrame>
      </mc:Choice>
      <mc:Fallback xmlns="">
        <xdr:sp macro="" textlink="">
          <xdr:nvSpPr>
            <xdr:cNvPr id="0" name=""/>
            <xdr:cNvSpPr>
              <a:spLocks noTextEdit="1"/>
            </xdr:cNvSpPr>
          </xdr:nvSpPr>
          <xdr:spPr>
            <a:xfrm>
              <a:off x="46670" y="5014032"/>
              <a:ext cx="1721943" cy="3328364"/>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3</xdr:col>
      <xdr:colOff>63998</xdr:colOff>
      <xdr:row>3</xdr:row>
      <xdr:rowOff>90894</xdr:rowOff>
    </xdr:from>
    <xdr:to>
      <xdr:col>5</xdr:col>
      <xdr:colOff>212921</xdr:colOff>
      <xdr:row>11</xdr:row>
      <xdr:rowOff>54776</xdr:rowOff>
    </xdr:to>
    <mc:AlternateContent xmlns:mc="http://schemas.openxmlformats.org/markup-compatibility/2006" xmlns:tsle="http://schemas.microsoft.com/office/drawing/2012/timeslicer">
      <mc:Choice Requires="tsle">
        <xdr:graphicFrame macro="">
          <xdr:nvGraphicFramePr>
            <xdr:cNvPr id="7" name="Date">
              <a:extLst>
                <a:ext uri="{FF2B5EF4-FFF2-40B4-BE49-F238E27FC236}">
                  <a16:creationId xmlns:a16="http://schemas.microsoft.com/office/drawing/2014/main" id="{DE5AEC0C-6DF9-4810-9D24-7B75EAEC165F}"/>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879701" y="884644"/>
              <a:ext cx="1359392" cy="1472007"/>
            </a:xfrm>
            <a:prstGeom prst="rect">
              <a:avLst/>
            </a:prstGeom>
            <a:solidFill>
              <a:prstClr val="white"/>
            </a:solidFill>
            <a:ln w="1">
              <a:solidFill>
                <a:prstClr val="green"/>
              </a:solidFill>
            </a:ln>
          </xdr:spPr>
          <xdr:txBody>
            <a:bodyPr vertOverflow="clip" horzOverflow="clip"/>
            <a:lstStyle/>
            <a:p>
              <a:r>
                <a:rPr lang="en-PH" sz="1100"/>
                <a:t>Timeline: Works in Excel 2013 or higher. Do not move or resize.</a:t>
              </a:r>
            </a:p>
          </xdr:txBody>
        </xdr:sp>
      </mc:Fallback>
    </mc:AlternateContent>
    <xdr:clientData fLocksWithSheet="0"/>
  </xdr:twoCellAnchor>
  <xdr:twoCellAnchor editAs="absolute">
    <xdr:from>
      <xdr:col>11</xdr:col>
      <xdr:colOff>918</xdr:colOff>
      <xdr:row>3</xdr:row>
      <xdr:rowOff>90285</xdr:rowOff>
    </xdr:from>
    <xdr:to>
      <xdr:col>17</xdr:col>
      <xdr:colOff>127517</xdr:colOff>
      <xdr:row>11</xdr:row>
      <xdr:rowOff>55385</xdr:rowOff>
    </xdr:to>
    <mc:AlternateContent xmlns:mc="http://schemas.openxmlformats.org/markup-compatibility/2006" xmlns:tsle="http://schemas.microsoft.com/office/drawing/2012/timeslicer">
      <mc:Choice Requires="tsle">
        <xdr:graphicFrame macro="">
          <xdr:nvGraphicFramePr>
            <xdr:cNvPr id="8" name="Months">
              <a:extLst>
                <a:ext uri="{FF2B5EF4-FFF2-40B4-BE49-F238E27FC236}">
                  <a16:creationId xmlns:a16="http://schemas.microsoft.com/office/drawing/2014/main" id="{65F2D76D-E559-41B9-AA64-88082D254ACD}"/>
                </a:ext>
              </a:extLst>
            </xdr:cNvPr>
            <xdr:cNvGraphicFramePr/>
          </xdr:nvGraphicFramePr>
          <xdr:xfrm>
            <a:off x="0" y="0"/>
            <a:ext cx="0" cy="0"/>
          </xdr:xfrm>
          <a:graphic>
            <a:graphicData uri="http://schemas.microsoft.com/office/drawing/2012/timeslicer">
              <tsle:timeslicer name="Months"/>
            </a:graphicData>
          </a:graphic>
        </xdr:graphicFrame>
      </mc:Choice>
      <mc:Fallback xmlns="">
        <xdr:sp macro="" textlink="">
          <xdr:nvSpPr>
            <xdr:cNvPr id="0" name=""/>
            <xdr:cNvSpPr>
              <a:spLocks noTextEdit="1"/>
            </xdr:cNvSpPr>
          </xdr:nvSpPr>
          <xdr:spPr>
            <a:xfrm>
              <a:off x="6658496" y="884035"/>
              <a:ext cx="3758005" cy="1473225"/>
            </a:xfrm>
            <a:prstGeom prst="rect">
              <a:avLst/>
            </a:prstGeom>
            <a:solidFill>
              <a:prstClr val="white"/>
            </a:solidFill>
            <a:ln w="1">
              <a:solidFill>
                <a:prstClr val="green"/>
              </a:solidFill>
            </a:ln>
          </xdr:spPr>
          <xdr:txBody>
            <a:bodyPr vertOverflow="clip" horzOverflow="clip"/>
            <a:lstStyle/>
            <a:p>
              <a:r>
                <a:rPr lang="en-PH" sz="1100"/>
                <a:t>Timeline: Works in Excel 2013 or higher. Do not move or resize.</a:t>
              </a:r>
            </a:p>
          </xdr:txBody>
        </xdr:sp>
      </mc:Fallback>
    </mc:AlternateContent>
    <xdr:clientData fLocksWithSheet="0"/>
  </xdr:twoCellAnchor>
  <xdr:twoCellAnchor editAs="absolute">
    <xdr:from>
      <xdr:col>17</xdr:col>
      <xdr:colOff>430799</xdr:colOff>
      <xdr:row>3</xdr:row>
      <xdr:rowOff>90285</xdr:rowOff>
    </xdr:from>
    <xdr:to>
      <xdr:col>25</xdr:col>
      <xdr:colOff>588309</xdr:colOff>
      <xdr:row>11</xdr:row>
      <xdr:rowOff>55385</xdr:rowOff>
    </xdr:to>
    <mc:AlternateContent xmlns:mc="http://schemas.openxmlformats.org/markup-compatibility/2006" xmlns:tsle="http://schemas.microsoft.com/office/drawing/2012/timeslicer">
      <mc:Choice Requires="tsle">
        <xdr:graphicFrame macro="">
          <xdr:nvGraphicFramePr>
            <xdr:cNvPr id="9" name="Day">
              <a:extLst>
                <a:ext uri="{FF2B5EF4-FFF2-40B4-BE49-F238E27FC236}">
                  <a16:creationId xmlns:a16="http://schemas.microsoft.com/office/drawing/2014/main" id="{085FC415-2094-4D02-9D5E-313B3654B88A}"/>
                </a:ext>
              </a:extLst>
            </xdr:cNvPr>
            <xdr:cNvGraphicFramePr/>
          </xdr:nvGraphicFramePr>
          <xdr:xfrm>
            <a:off x="0" y="0"/>
            <a:ext cx="0" cy="0"/>
          </xdr:xfrm>
          <a:graphic>
            <a:graphicData uri="http://schemas.microsoft.com/office/drawing/2012/timeslicer">
              <tsle:timeslicer name="Day"/>
            </a:graphicData>
          </a:graphic>
        </xdr:graphicFrame>
      </mc:Choice>
      <mc:Fallback xmlns="">
        <xdr:sp macro="" textlink="">
          <xdr:nvSpPr>
            <xdr:cNvPr id="0" name=""/>
            <xdr:cNvSpPr>
              <a:spLocks noTextEdit="1"/>
            </xdr:cNvSpPr>
          </xdr:nvSpPr>
          <xdr:spPr>
            <a:xfrm>
              <a:off x="10719783" y="884035"/>
              <a:ext cx="4999385" cy="1473225"/>
            </a:xfrm>
            <a:prstGeom prst="rect">
              <a:avLst/>
            </a:prstGeom>
            <a:solidFill>
              <a:prstClr val="white"/>
            </a:solidFill>
            <a:ln w="1">
              <a:solidFill>
                <a:prstClr val="green"/>
              </a:solidFill>
            </a:ln>
          </xdr:spPr>
          <xdr:txBody>
            <a:bodyPr vertOverflow="clip" horzOverflow="clip"/>
            <a:lstStyle/>
            <a:p>
              <a:r>
                <a:rPr lang="en-PH" sz="1100"/>
                <a:t>Timeline: Works in Excel 2013 or higher. Do not move or resize.</a:t>
              </a:r>
            </a:p>
          </xdr:txBody>
        </xdr:sp>
      </mc:Fallback>
    </mc:AlternateContent>
    <xdr:clientData fLocksWithSheet="0"/>
  </xdr:twoCellAnchor>
  <xdr:twoCellAnchor editAs="absolute">
    <xdr:from>
      <xdr:col>5</xdr:col>
      <xdr:colOff>516204</xdr:colOff>
      <xdr:row>3</xdr:row>
      <xdr:rowOff>90285</xdr:rowOff>
    </xdr:from>
    <xdr:to>
      <xdr:col>10</xdr:col>
      <xdr:colOff>302869</xdr:colOff>
      <xdr:row>11</xdr:row>
      <xdr:rowOff>55385</xdr:rowOff>
    </xdr:to>
    <mc:AlternateContent xmlns:mc="http://schemas.openxmlformats.org/markup-compatibility/2006" xmlns:tsle="http://schemas.microsoft.com/office/drawing/2012/timeslicer">
      <mc:Choice Requires="tsle">
        <xdr:graphicFrame macro="">
          <xdr:nvGraphicFramePr>
            <xdr:cNvPr id="10" name="Day 1">
              <a:extLst>
                <a:ext uri="{FF2B5EF4-FFF2-40B4-BE49-F238E27FC236}">
                  <a16:creationId xmlns:a16="http://schemas.microsoft.com/office/drawing/2014/main" id="{7F0E5942-31C5-4AA6-8B68-954B11DDF990}"/>
                </a:ext>
              </a:extLst>
            </xdr:cNvPr>
            <xdr:cNvGraphicFramePr/>
          </xdr:nvGraphicFramePr>
          <xdr:xfrm>
            <a:off x="0" y="0"/>
            <a:ext cx="0" cy="0"/>
          </xdr:xfrm>
          <a:graphic>
            <a:graphicData uri="http://schemas.microsoft.com/office/drawing/2012/timeslicer">
              <tsle:timeslicer name="Day 1"/>
            </a:graphicData>
          </a:graphic>
        </xdr:graphicFrame>
      </mc:Choice>
      <mc:Fallback xmlns="">
        <xdr:sp macro="" textlink="">
          <xdr:nvSpPr>
            <xdr:cNvPr id="0" name=""/>
            <xdr:cNvSpPr>
              <a:spLocks noTextEdit="1"/>
            </xdr:cNvSpPr>
          </xdr:nvSpPr>
          <xdr:spPr>
            <a:xfrm>
              <a:off x="3542376" y="884035"/>
              <a:ext cx="2812837" cy="1473225"/>
            </a:xfrm>
            <a:prstGeom prst="rect">
              <a:avLst/>
            </a:prstGeom>
            <a:solidFill>
              <a:prstClr val="white"/>
            </a:solidFill>
            <a:ln w="1">
              <a:solidFill>
                <a:prstClr val="green"/>
              </a:solidFill>
            </a:ln>
          </xdr:spPr>
          <xdr:txBody>
            <a:bodyPr vertOverflow="clip" horzOverflow="clip"/>
            <a:lstStyle/>
            <a:p>
              <a:r>
                <a:rPr lang="en-PH" sz="1100"/>
                <a:t>Timeline: Works in Excel 2013 or higher. Do not move or resize.</a:t>
              </a:r>
            </a:p>
          </xdr:txBody>
        </xdr:sp>
      </mc:Fallback>
    </mc:AlternateContent>
    <xdr:clientData fLocksWithSheet="0"/>
  </xdr:twoCellAnchor>
  <xdr:twoCellAnchor>
    <xdr:from>
      <xdr:col>3</xdr:col>
      <xdr:colOff>121397</xdr:colOff>
      <xdr:row>12</xdr:row>
      <xdr:rowOff>86830</xdr:rowOff>
    </xdr:from>
    <xdr:to>
      <xdr:col>8</xdr:col>
      <xdr:colOff>336177</xdr:colOff>
      <xdr:row>17</xdr:row>
      <xdr:rowOff>161536</xdr:rowOff>
    </xdr:to>
    <xdr:sp macro="" textlink="">
      <xdr:nvSpPr>
        <xdr:cNvPr id="11" name="Rectangle: Rounded Corners 10">
          <a:extLst>
            <a:ext uri="{FF2B5EF4-FFF2-40B4-BE49-F238E27FC236}">
              <a16:creationId xmlns:a16="http://schemas.microsoft.com/office/drawing/2014/main" id="{FC7FCA21-2BF8-FE12-7D0C-CCC0EAF5769C}"/>
            </a:ext>
          </a:extLst>
        </xdr:cNvPr>
        <xdr:cNvSpPr/>
      </xdr:nvSpPr>
      <xdr:spPr>
        <a:xfrm>
          <a:off x="1947022" y="2570134"/>
          <a:ext cx="3257488" cy="1000747"/>
        </a:xfrm>
        <a:prstGeom prst="roundRect">
          <a:avLst/>
        </a:prstGeom>
        <a:solidFill>
          <a:schemeClr val="bg1"/>
        </a:solidFill>
        <a:ln w="19050">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3</xdr:col>
      <xdr:colOff>314643</xdr:colOff>
      <xdr:row>12</xdr:row>
      <xdr:rowOff>178940</xdr:rowOff>
    </xdr:from>
    <xdr:to>
      <xdr:col>8</xdr:col>
      <xdr:colOff>223006</xdr:colOff>
      <xdr:row>17</xdr:row>
      <xdr:rowOff>9902</xdr:rowOff>
    </xdr:to>
    <xdr:grpSp>
      <xdr:nvGrpSpPr>
        <xdr:cNvPr id="17" name="Group 16">
          <a:extLst>
            <a:ext uri="{FF2B5EF4-FFF2-40B4-BE49-F238E27FC236}">
              <a16:creationId xmlns:a16="http://schemas.microsoft.com/office/drawing/2014/main" id="{7A0A1B7C-196A-A009-38FE-CE603A513436}"/>
            </a:ext>
          </a:extLst>
        </xdr:cNvPr>
        <xdr:cNvGrpSpPr/>
      </xdr:nvGrpSpPr>
      <xdr:grpSpPr>
        <a:xfrm>
          <a:off x="2142413" y="2573062"/>
          <a:ext cx="2954647" cy="731975"/>
          <a:chOff x="2330491" y="2410507"/>
          <a:chExt cx="2959520" cy="746754"/>
        </a:xfrm>
      </xdr:grpSpPr>
      <xdr:sp macro="" textlink="Analysis!Q7">
        <xdr:nvSpPr>
          <xdr:cNvPr id="12" name="TextBox 11">
            <a:extLst>
              <a:ext uri="{FF2B5EF4-FFF2-40B4-BE49-F238E27FC236}">
                <a16:creationId xmlns:a16="http://schemas.microsoft.com/office/drawing/2014/main" id="{C6955BDD-224E-3458-5EB9-DD636EA3DDD9}"/>
              </a:ext>
            </a:extLst>
          </xdr:cNvPr>
          <xdr:cNvSpPr txBox="1"/>
        </xdr:nvSpPr>
        <xdr:spPr>
          <a:xfrm>
            <a:off x="2947207" y="2644251"/>
            <a:ext cx="2342804" cy="51301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8944A2C-7AD5-496B-BC1B-F145B6914F1D}" type="TxLink">
              <a:rPr lang="en-US" sz="2800" b="0" i="0" u="none" strike="noStrike">
                <a:solidFill>
                  <a:schemeClr val="accent1"/>
                </a:solidFill>
                <a:latin typeface="Calibri"/>
                <a:ea typeface="Calibri"/>
                <a:cs typeface="Calibri"/>
              </a:rPr>
              <a:pPr/>
              <a:t>₱6,750,869.00</a:t>
            </a:fld>
            <a:endParaRPr lang="en-PH" sz="6000" b="1">
              <a:solidFill>
                <a:schemeClr val="accent1"/>
              </a:solidFill>
            </a:endParaRPr>
          </a:p>
        </xdr:txBody>
      </xdr:sp>
      <xdr:sp macro="" textlink="Analysis!C41">
        <xdr:nvSpPr>
          <xdr:cNvPr id="13" name="TextBox 12">
            <a:extLst>
              <a:ext uri="{FF2B5EF4-FFF2-40B4-BE49-F238E27FC236}">
                <a16:creationId xmlns:a16="http://schemas.microsoft.com/office/drawing/2014/main" id="{9E92ADBE-08E9-394F-8668-9EB4C667209A}"/>
              </a:ext>
            </a:extLst>
          </xdr:cNvPr>
          <xdr:cNvSpPr txBox="1"/>
        </xdr:nvSpPr>
        <xdr:spPr>
          <a:xfrm>
            <a:off x="3288690" y="2410507"/>
            <a:ext cx="1737285" cy="3354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i="0" u="none" strike="noStrike">
                <a:solidFill>
                  <a:schemeClr val="tx1"/>
                </a:solidFill>
                <a:latin typeface="Calibri"/>
                <a:ea typeface="Calibri"/>
                <a:cs typeface="Calibri"/>
              </a:rPr>
              <a:t>Total Net Sales</a:t>
            </a:r>
            <a:endParaRPr lang="en-PH" sz="1800" b="1">
              <a:solidFill>
                <a:schemeClr val="tx1"/>
              </a:solidFill>
            </a:endParaRPr>
          </a:p>
        </xdr:txBody>
      </xdr:sp>
      <xdr:pic>
        <xdr:nvPicPr>
          <xdr:cNvPr id="16" name="Graphic 15" descr="Money with solid fill">
            <a:extLst>
              <a:ext uri="{FF2B5EF4-FFF2-40B4-BE49-F238E27FC236}">
                <a16:creationId xmlns:a16="http://schemas.microsoft.com/office/drawing/2014/main" id="{2B9A4AEE-470C-E464-A047-A1BEA5B88A5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330491" y="2462788"/>
            <a:ext cx="591309" cy="594475"/>
          </a:xfrm>
          <a:prstGeom prst="rect">
            <a:avLst/>
          </a:prstGeom>
        </xdr:spPr>
      </xdr:pic>
    </xdr:grpSp>
    <xdr:clientData/>
  </xdr:twoCellAnchor>
  <xdr:twoCellAnchor>
    <xdr:from>
      <xdr:col>8</xdr:col>
      <xdr:colOff>586430</xdr:colOff>
      <xdr:row>12</xdr:row>
      <xdr:rowOff>86830</xdr:rowOff>
    </xdr:from>
    <xdr:to>
      <xdr:col>14</xdr:col>
      <xdr:colOff>188622</xdr:colOff>
      <xdr:row>17</xdr:row>
      <xdr:rowOff>161536</xdr:rowOff>
    </xdr:to>
    <xdr:sp macro="" textlink="">
      <xdr:nvSpPr>
        <xdr:cNvPr id="18" name="Rectangle: Rounded Corners 17">
          <a:extLst>
            <a:ext uri="{FF2B5EF4-FFF2-40B4-BE49-F238E27FC236}">
              <a16:creationId xmlns:a16="http://schemas.microsoft.com/office/drawing/2014/main" id="{E39A24C0-1F5C-A821-4AB5-B8C3858D6478}"/>
            </a:ext>
          </a:extLst>
        </xdr:cNvPr>
        <xdr:cNvSpPr/>
      </xdr:nvSpPr>
      <xdr:spPr>
        <a:xfrm>
          <a:off x="5454763" y="2570134"/>
          <a:ext cx="3253442" cy="1000747"/>
        </a:xfrm>
        <a:prstGeom prst="roundRect">
          <a:avLst/>
        </a:prstGeom>
        <a:solidFill>
          <a:schemeClr val="bg1"/>
        </a:solidFill>
        <a:ln w="19050">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14</xdr:col>
      <xdr:colOff>438875</xdr:colOff>
      <xdr:row>12</xdr:row>
      <xdr:rowOff>86830</xdr:rowOff>
    </xdr:from>
    <xdr:to>
      <xdr:col>20</xdr:col>
      <xdr:colOff>41746</xdr:colOff>
      <xdr:row>17</xdr:row>
      <xdr:rowOff>161536</xdr:rowOff>
    </xdr:to>
    <xdr:sp macro="" textlink="">
      <xdr:nvSpPr>
        <xdr:cNvPr id="19" name="Rectangle: Rounded Corners 18">
          <a:extLst>
            <a:ext uri="{FF2B5EF4-FFF2-40B4-BE49-F238E27FC236}">
              <a16:creationId xmlns:a16="http://schemas.microsoft.com/office/drawing/2014/main" id="{EB00CA29-BE80-EF31-D44F-98A68C9E6AF9}"/>
            </a:ext>
          </a:extLst>
        </xdr:cNvPr>
        <xdr:cNvSpPr/>
      </xdr:nvSpPr>
      <xdr:spPr>
        <a:xfrm>
          <a:off x="9005602" y="2303557"/>
          <a:ext cx="3274326" cy="998343"/>
        </a:xfrm>
        <a:prstGeom prst="roundRect">
          <a:avLst/>
        </a:prstGeom>
        <a:solidFill>
          <a:schemeClr val="bg1"/>
        </a:solidFill>
        <a:ln w="19050">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20</xdr:col>
      <xdr:colOff>292000</xdr:colOff>
      <xdr:row>12</xdr:row>
      <xdr:rowOff>86830</xdr:rowOff>
    </xdr:from>
    <xdr:to>
      <xdr:col>25</xdr:col>
      <xdr:colOff>506780</xdr:colOff>
      <xdr:row>17</xdr:row>
      <xdr:rowOff>161536</xdr:rowOff>
    </xdr:to>
    <xdr:sp macro="" textlink="">
      <xdr:nvSpPr>
        <xdr:cNvPr id="20" name="Rectangle: Rounded Corners 19">
          <a:extLst>
            <a:ext uri="{FF2B5EF4-FFF2-40B4-BE49-F238E27FC236}">
              <a16:creationId xmlns:a16="http://schemas.microsoft.com/office/drawing/2014/main" id="{1FF0CB01-B1B2-9285-BC77-DC86BD371A78}"/>
            </a:ext>
          </a:extLst>
        </xdr:cNvPr>
        <xdr:cNvSpPr/>
      </xdr:nvSpPr>
      <xdr:spPr>
        <a:xfrm>
          <a:off x="12496390" y="2279903"/>
          <a:ext cx="3265878" cy="988487"/>
        </a:xfrm>
        <a:prstGeom prst="roundRect">
          <a:avLst/>
        </a:prstGeom>
        <a:solidFill>
          <a:schemeClr val="bg1"/>
        </a:solidFill>
        <a:ln w="19050">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9</xdr:col>
      <xdr:colOff>572437</xdr:colOff>
      <xdr:row>12</xdr:row>
      <xdr:rowOff>172675</xdr:rowOff>
    </xdr:from>
    <xdr:to>
      <xdr:col>13</xdr:col>
      <xdr:colOff>379840</xdr:colOff>
      <xdr:row>17</xdr:row>
      <xdr:rowOff>147</xdr:rowOff>
    </xdr:to>
    <xdr:grpSp>
      <xdr:nvGrpSpPr>
        <xdr:cNvPr id="27" name="Group 26">
          <a:extLst>
            <a:ext uri="{FF2B5EF4-FFF2-40B4-BE49-F238E27FC236}">
              <a16:creationId xmlns:a16="http://schemas.microsoft.com/office/drawing/2014/main" id="{68FF4D28-9E42-B856-85D9-29E525C206C9}"/>
            </a:ext>
          </a:extLst>
        </xdr:cNvPr>
        <xdr:cNvGrpSpPr/>
      </xdr:nvGrpSpPr>
      <xdr:grpSpPr>
        <a:xfrm>
          <a:off x="6055748" y="2566797"/>
          <a:ext cx="2244430" cy="728485"/>
          <a:chOff x="6076245" y="2426642"/>
          <a:chExt cx="2245803" cy="759782"/>
        </a:xfrm>
      </xdr:grpSpPr>
      <xdr:sp macro="" textlink="Analysis!T7">
        <xdr:nvSpPr>
          <xdr:cNvPr id="22" name="TextBox 21">
            <a:extLst>
              <a:ext uri="{FF2B5EF4-FFF2-40B4-BE49-F238E27FC236}">
                <a16:creationId xmlns:a16="http://schemas.microsoft.com/office/drawing/2014/main" id="{C606771C-8B6B-A4B0-1761-5AD42738A543}"/>
              </a:ext>
            </a:extLst>
          </xdr:cNvPr>
          <xdr:cNvSpPr txBox="1"/>
        </xdr:nvSpPr>
        <xdr:spPr>
          <a:xfrm>
            <a:off x="6864264" y="2662595"/>
            <a:ext cx="755736" cy="52382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4704A6A-275A-49E7-9DF6-C8DE73559AFD}" type="TxLink">
              <a:rPr lang="en-US" sz="2800" b="0" i="0" u="none" strike="noStrike">
                <a:solidFill>
                  <a:schemeClr val="accent1"/>
                </a:solidFill>
                <a:latin typeface="Calibri"/>
                <a:ea typeface="Calibri"/>
                <a:cs typeface="Calibri"/>
              </a:rPr>
              <a:pPr/>
              <a:t>300</a:t>
            </a:fld>
            <a:endParaRPr lang="en-PH" sz="6000" b="1">
              <a:solidFill>
                <a:schemeClr val="accent1"/>
              </a:solidFill>
            </a:endParaRPr>
          </a:p>
        </xdr:txBody>
      </xdr:sp>
      <xdr:sp macro="" textlink="Analysis!C41">
        <xdr:nvSpPr>
          <xdr:cNvPr id="23" name="TextBox 22">
            <a:extLst>
              <a:ext uri="{FF2B5EF4-FFF2-40B4-BE49-F238E27FC236}">
                <a16:creationId xmlns:a16="http://schemas.microsoft.com/office/drawing/2014/main" id="{CC86A4B7-FF91-F451-1E6F-02BCB6383ABA}"/>
              </a:ext>
            </a:extLst>
          </xdr:cNvPr>
          <xdr:cNvSpPr txBox="1"/>
        </xdr:nvSpPr>
        <xdr:spPr>
          <a:xfrm>
            <a:off x="6585924" y="2426642"/>
            <a:ext cx="1736124" cy="33786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i="0" u="none" strike="noStrike">
                <a:solidFill>
                  <a:schemeClr val="tx1"/>
                </a:solidFill>
                <a:latin typeface="Calibri"/>
                <a:ea typeface="Calibri"/>
                <a:cs typeface="Calibri"/>
              </a:rPr>
              <a:t>Total Orders</a:t>
            </a:r>
            <a:endParaRPr lang="en-PH" sz="1800" b="1">
              <a:solidFill>
                <a:schemeClr val="tx1"/>
              </a:solidFill>
            </a:endParaRPr>
          </a:p>
        </xdr:txBody>
      </xdr:sp>
      <xdr:pic>
        <xdr:nvPicPr>
          <xdr:cNvPr id="26" name="Graphic 25" descr="Shopping cart with solid fill">
            <a:extLst>
              <a:ext uri="{FF2B5EF4-FFF2-40B4-BE49-F238E27FC236}">
                <a16:creationId xmlns:a16="http://schemas.microsoft.com/office/drawing/2014/main" id="{78B6DCA2-06FD-4509-DDBF-6BF375BC2DF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076245" y="2536706"/>
            <a:ext cx="499325" cy="511293"/>
          </a:xfrm>
          <a:prstGeom prst="rect">
            <a:avLst/>
          </a:prstGeom>
        </xdr:spPr>
      </xdr:pic>
    </xdr:grpSp>
    <xdr:clientData/>
  </xdr:twoCellAnchor>
  <xdr:twoCellAnchor>
    <xdr:from>
      <xdr:col>15</xdr:col>
      <xdr:colOff>360725</xdr:colOff>
      <xdr:row>12</xdr:row>
      <xdr:rowOff>175873</xdr:rowOff>
    </xdr:from>
    <xdr:to>
      <xdr:col>19</xdr:col>
      <xdr:colOff>150726</xdr:colOff>
      <xdr:row>17</xdr:row>
      <xdr:rowOff>9161</xdr:rowOff>
    </xdr:to>
    <xdr:grpSp>
      <xdr:nvGrpSpPr>
        <xdr:cNvPr id="36" name="Group 35">
          <a:extLst>
            <a:ext uri="{FF2B5EF4-FFF2-40B4-BE49-F238E27FC236}">
              <a16:creationId xmlns:a16="http://schemas.microsoft.com/office/drawing/2014/main" id="{81796586-535D-4D5A-C3E5-D6E65B2913A1}"/>
            </a:ext>
          </a:extLst>
        </xdr:cNvPr>
        <xdr:cNvGrpSpPr/>
      </xdr:nvGrpSpPr>
      <xdr:grpSpPr>
        <a:xfrm>
          <a:off x="9499576" y="2569995"/>
          <a:ext cx="2227028" cy="734301"/>
          <a:chOff x="9641077" y="2389271"/>
          <a:chExt cx="2234410" cy="755062"/>
        </a:xfrm>
      </xdr:grpSpPr>
      <xdr:sp macro="" textlink="Analysis!S7">
        <xdr:nvSpPr>
          <xdr:cNvPr id="29" name="TextBox 28">
            <a:extLst>
              <a:ext uri="{FF2B5EF4-FFF2-40B4-BE49-F238E27FC236}">
                <a16:creationId xmlns:a16="http://schemas.microsoft.com/office/drawing/2014/main" id="{FE4DC1BD-965C-0D3B-1FB0-E7F0C4A88990}"/>
              </a:ext>
            </a:extLst>
          </xdr:cNvPr>
          <xdr:cNvSpPr txBox="1"/>
        </xdr:nvSpPr>
        <xdr:spPr>
          <a:xfrm>
            <a:off x="10432078" y="2625067"/>
            <a:ext cx="1052546" cy="51926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4435FF9-C17E-4B6E-BAA6-96F716991448}" type="TxLink">
              <a:rPr lang="en-US" sz="2800" b="0" i="0" u="none" strike="noStrike">
                <a:solidFill>
                  <a:schemeClr val="accent1"/>
                </a:solidFill>
                <a:latin typeface="Calibri"/>
                <a:ea typeface="Calibri"/>
                <a:cs typeface="Calibri"/>
              </a:rPr>
              <a:pPr/>
              <a:t>1720</a:t>
            </a:fld>
            <a:endParaRPr lang="en-PH" sz="13800" b="1">
              <a:solidFill>
                <a:schemeClr val="accent1"/>
              </a:solidFill>
            </a:endParaRPr>
          </a:p>
        </xdr:txBody>
      </xdr:sp>
      <xdr:sp macro="" textlink="Analysis!C41">
        <xdr:nvSpPr>
          <xdr:cNvPr id="30" name="TextBox 29">
            <a:extLst>
              <a:ext uri="{FF2B5EF4-FFF2-40B4-BE49-F238E27FC236}">
                <a16:creationId xmlns:a16="http://schemas.microsoft.com/office/drawing/2014/main" id="{BF59C7E1-54CD-330E-9392-A6D01E1AE15B}"/>
              </a:ext>
            </a:extLst>
          </xdr:cNvPr>
          <xdr:cNvSpPr txBox="1"/>
        </xdr:nvSpPr>
        <xdr:spPr>
          <a:xfrm>
            <a:off x="10134904" y="2389271"/>
            <a:ext cx="1740583" cy="3351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i="0" u="none" strike="noStrike">
                <a:solidFill>
                  <a:schemeClr val="tx1"/>
                </a:solidFill>
                <a:latin typeface="Calibri"/>
                <a:ea typeface="Calibri"/>
                <a:cs typeface="Calibri"/>
              </a:rPr>
              <a:t>Quantity Sold</a:t>
            </a:r>
            <a:endParaRPr lang="en-PH" sz="1800" b="1">
              <a:solidFill>
                <a:schemeClr val="tx1"/>
              </a:solidFill>
            </a:endParaRPr>
          </a:p>
        </xdr:txBody>
      </xdr:sp>
      <xdr:pic>
        <xdr:nvPicPr>
          <xdr:cNvPr id="35" name="Graphic 34" descr="Database with solid fill">
            <a:extLst>
              <a:ext uri="{FF2B5EF4-FFF2-40B4-BE49-F238E27FC236}">
                <a16:creationId xmlns:a16="http://schemas.microsoft.com/office/drawing/2014/main" id="{8FB22B2E-7445-78F7-1E8B-DFF6B8939ED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9641077" y="2520746"/>
            <a:ext cx="488198" cy="494041"/>
          </a:xfrm>
          <a:prstGeom prst="rect">
            <a:avLst/>
          </a:prstGeom>
        </xdr:spPr>
      </xdr:pic>
    </xdr:grpSp>
    <xdr:clientData/>
  </xdr:twoCellAnchor>
  <xdr:twoCellAnchor>
    <xdr:from>
      <xdr:col>21</xdr:col>
      <xdr:colOff>21708</xdr:colOff>
      <xdr:row>12</xdr:row>
      <xdr:rowOff>177133</xdr:rowOff>
    </xdr:from>
    <xdr:to>
      <xdr:col>25</xdr:col>
      <xdr:colOff>287179</xdr:colOff>
      <xdr:row>17</xdr:row>
      <xdr:rowOff>20114</xdr:rowOff>
    </xdr:to>
    <xdr:grpSp>
      <xdr:nvGrpSpPr>
        <xdr:cNvPr id="44" name="Group 43">
          <a:extLst>
            <a:ext uri="{FF2B5EF4-FFF2-40B4-BE49-F238E27FC236}">
              <a16:creationId xmlns:a16="http://schemas.microsoft.com/office/drawing/2014/main" id="{EE2557CE-0240-57CB-7D4B-975627AAE4BE}"/>
            </a:ext>
          </a:extLst>
        </xdr:cNvPr>
        <xdr:cNvGrpSpPr/>
      </xdr:nvGrpSpPr>
      <xdr:grpSpPr>
        <a:xfrm>
          <a:off x="12816100" y="2571255"/>
          <a:ext cx="2702498" cy="743994"/>
          <a:chOff x="12843823" y="2424175"/>
          <a:chExt cx="2707779" cy="779199"/>
        </a:xfrm>
      </xdr:grpSpPr>
      <xdr:sp macro="" textlink="Analysis!R7">
        <xdr:nvSpPr>
          <xdr:cNvPr id="38" name="TextBox 37">
            <a:extLst>
              <a:ext uri="{FF2B5EF4-FFF2-40B4-BE49-F238E27FC236}">
                <a16:creationId xmlns:a16="http://schemas.microsoft.com/office/drawing/2014/main" id="{534180F0-1B78-5861-AFB5-3A0B02D62973}"/>
              </a:ext>
            </a:extLst>
          </xdr:cNvPr>
          <xdr:cNvSpPr txBox="1"/>
        </xdr:nvSpPr>
        <xdr:spPr>
          <a:xfrm>
            <a:off x="13467854" y="2674889"/>
            <a:ext cx="1880536" cy="5284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03A6486-950B-4F52-8E82-6824073A4392}" type="TxLink">
              <a:rPr lang="en-US" sz="2800" b="0" i="0" u="none" strike="noStrike">
                <a:solidFill>
                  <a:schemeClr val="accent1"/>
                </a:solidFill>
                <a:latin typeface="Calibri"/>
                <a:ea typeface="Calibri"/>
                <a:cs typeface="Calibri"/>
              </a:rPr>
              <a:pPr/>
              <a:t>₱22,502.90</a:t>
            </a:fld>
            <a:endParaRPr lang="en-PH" sz="49600" b="1">
              <a:solidFill>
                <a:schemeClr val="accent1"/>
              </a:solidFill>
            </a:endParaRPr>
          </a:p>
        </xdr:txBody>
      </xdr:sp>
      <xdr:sp macro="" textlink="Analysis!C41">
        <xdr:nvSpPr>
          <xdr:cNvPr id="39" name="TextBox 38">
            <a:extLst>
              <a:ext uri="{FF2B5EF4-FFF2-40B4-BE49-F238E27FC236}">
                <a16:creationId xmlns:a16="http://schemas.microsoft.com/office/drawing/2014/main" id="{22B46CEA-0C11-D74B-5279-A56A7C9BEEB9}"/>
              </a:ext>
            </a:extLst>
          </xdr:cNvPr>
          <xdr:cNvSpPr txBox="1"/>
        </xdr:nvSpPr>
        <xdr:spPr>
          <a:xfrm>
            <a:off x="13303578" y="2424175"/>
            <a:ext cx="2248024" cy="3410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i="0" u="none" strike="noStrike">
                <a:solidFill>
                  <a:schemeClr val="tx1"/>
                </a:solidFill>
                <a:latin typeface="Calibri"/>
                <a:ea typeface="Calibri"/>
                <a:cs typeface="Calibri"/>
              </a:rPr>
              <a:t>Average Order Value</a:t>
            </a:r>
            <a:endParaRPr lang="en-PH" sz="1800" b="1">
              <a:solidFill>
                <a:schemeClr val="tx1"/>
              </a:solidFill>
            </a:endParaRPr>
          </a:p>
        </xdr:txBody>
      </xdr:sp>
      <xdr:pic>
        <xdr:nvPicPr>
          <xdr:cNvPr id="42" name="Graphic 41" descr="Clipboard with solid fill">
            <a:extLst>
              <a:ext uri="{FF2B5EF4-FFF2-40B4-BE49-F238E27FC236}">
                <a16:creationId xmlns:a16="http://schemas.microsoft.com/office/drawing/2014/main" id="{35BA0FEC-8988-AE75-DA61-D787359B8A71}"/>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2843823" y="2573211"/>
            <a:ext cx="483881" cy="492200"/>
          </a:xfrm>
          <a:prstGeom prst="rect">
            <a:avLst/>
          </a:prstGeom>
        </xdr:spPr>
      </xdr:pic>
    </xdr:grpSp>
    <xdr:clientData/>
  </xdr:twoCellAnchor>
  <xdr:twoCellAnchor>
    <xdr:from>
      <xdr:col>3</xdr:col>
      <xdr:colOff>104256</xdr:colOff>
      <xdr:row>18</xdr:row>
      <xdr:rowOff>86688</xdr:rowOff>
    </xdr:from>
    <xdr:to>
      <xdr:col>16</xdr:col>
      <xdr:colOff>588882</xdr:colOff>
      <xdr:row>31</xdr:row>
      <xdr:rowOff>35330</xdr:rowOff>
    </xdr:to>
    <xdr:graphicFrame macro="">
      <xdr:nvGraphicFramePr>
        <xdr:cNvPr id="45" name="Monthly Net Sales Trend">
          <a:extLst>
            <a:ext uri="{FF2B5EF4-FFF2-40B4-BE49-F238E27FC236}">
              <a16:creationId xmlns:a16="http://schemas.microsoft.com/office/drawing/2014/main" id="{BB63C995-D708-4B89-9EF3-0F2E1299F0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462122</xdr:colOff>
      <xdr:row>31</xdr:row>
      <xdr:rowOff>115924</xdr:rowOff>
    </xdr:from>
    <xdr:to>
      <xdr:col>16</xdr:col>
      <xdr:colOff>570301</xdr:colOff>
      <xdr:row>43</xdr:row>
      <xdr:rowOff>53843</xdr:rowOff>
    </xdr:to>
    <xdr:graphicFrame macro="">
      <xdr:nvGraphicFramePr>
        <xdr:cNvPr id="48" name="Net Sales Trend">
          <a:extLst>
            <a:ext uri="{FF2B5EF4-FFF2-40B4-BE49-F238E27FC236}">
              <a16:creationId xmlns:a16="http://schemas.microsoft.com/office/drawing/2014/main" id="{635BCD2A-D91A-4DA5-9644-5518D91BD8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17</xdr:col>
      <xdr:colOff>300006</xdr:colOff>
      <xdr:row>18</xdr:row>
      <xdr:rowOff>96599</xdr:rowOff>
    </xdr:from>
    <xdr:to>
      <xdr:col>25</xdr:col>
      <xdr:colOff>477852</xdr:colOff>
      <xdr:row>31</xdr:row>
      <xdr:rowOff>46630</xdr:rowOff>
    </xdr:to>
    <xdr:graphicFrame macro="">
      <xdr:nvGraphicFramePr>
        <xdr:cNvPr id="52" name="Chart 51">
          <a:extLst>
            <a:ext uri="{FF2B5EF4-FFF2-40B4-BE49-F238E27FC236}">
              <a16:creationId xmlns:a16="http://schemas.microsoft.com/office/drawing/2014/main" id="{7AFF4205-13C9-40B7-BC5E-C9F7F3683A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121824</xdr:colOff>
      <xdr:row>31</xdr:row>
      <xdr:rowOff>116700</xdr:rowOff>
    </xdr:from>
    <xdr:to>
      <xdr:col>10</xdr:col>
      <xdr:colOff>117231</xdr:colOff>
      <xdr:row>43</xdr:row>
      <xdr:rowOff>53068</xdr:rowOff>
    </xdr:to>
    <xdr:graphicFrame macro="">
      <xdr:nvGraphicFramePr>
        <xdr:cNvPr id="2" name="Chart 1">
          <a:extLst>
            <a:ext uri="{FF2B5EF4-FFF2-40B4-BE49-F238E27FC236}">
              <a16:creationId xmlns:a16="http://schemas.microsoft.com/office/drawing/2014/main" id="{76DCBB19-000A-4026-ADC2-95E692D1D0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17</xdr:col>
      <xdr:colOff>303282</xdr:colOff>
      <xdr:row>31</xdr:row>
      <xdr:rowOff>115931</xdr:rowOff>
    </xdr:from>
    <xdr:to>
      <xdr:col>25</xdr:col>
      <xdr:colOff>479945</xdr:colOff>
      <xdr:row>43</xdr:row>
      <xdr:rowOff>53836</xdr:rowOff>
    </xdr:to>
    <xdr:graphicFrame macro="">
      <xdr:nvGraphicFramePr>
        <xdr:cNvPr id="14" name="Chart 13">
          <a:extLst>
            <a:ext uri="{FF2B5EF4-FFF2-40B4-BE49-F238E27FC236}">
              <a16:creationId xmlns:a16="http://schemas.microsoft.com/office/drawing/2014/main" id="{F77CB45A-57A0-4AA1-BAB3-F8FB9D8090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lasq" refreshedDate="46243.556868981483" createdVersion="8" refreshedVersion="8" minRefreshableVersion="3" recordCount="300" xr:uid="{45A8EF62-0E4B-40A4-B3AB-C5F8E7F47111}">
  <cacheSource type="worksheet">
    <worksheetSource name="tblSales"/>
  </cacheSource>
  <cacheFields count="18">
    <cacheField name="Order ID" numFmtId="0">
      <sharedItems/>
    </cacheField>
    <cacheField name="Date" numFmtId="14">
      <sharedItems containsSemiMixedTypes="0" containsNonDate="0" containsDate="1" containsString="0" minDate="2025-01-03T00:00:00" maxDate="2026-03-16T00:00:00" count="221">
        <d v="2025-01-03T00:00:00"/>
        <d v="2025-01-05T00:00:00"/>
        <d v="2025-01-08T00:00:00"/>
        <d v="2025-01-09T00:00:00"/>
        <d v="2025-01-11T00:00:00"/>
        <d v="2025-01-14T00:00:00"/>
        <d v="2025-01-15T00:00:00"/>
        <d v="2025-01-18T00:00:00"/>
        <d v="2025-01-21T00:00:00"/>
        <d v="2025-01-24T00:00:00"/>
        <d v="2025-01-26T00:00:00"/>
        <d v="2025-02-01T00:00:00"/>
        <d v="2025-02-03T00:00:00"/>
        <d v="2025-02-05T00:00:00"/>
        <d v="2025-02-08T00:00:00"/>
        <d v="2025-02-09T00:00:00"/>
        <d v="2025-02-12T00:00:00"/>
        <d v="2025-02-14T00:00:00"/>
        <d v="2025-02-16T00:00:00"/>
        <d v="2025-02-20T00:00:00"/>
        <d v="2025-02-22T00:00:00"/>
        <d v="2025-02-25T00:00:00"/>
        <d v="2025-03-03T00:00:00"/>
        <d v="2025-03-05T00:00:00"/>
        <d v="2025-03-08T00:00:00"/>
        <d v="2025-03-11T00:00:00"/>
        <d v="2025-03-13T00:00:00"/>
        <d v="2025-03-14T00:00:00"/>
        <d v="2025-03-16T00:00:00"/>
        <d v="2025-03-18T00:00:00"/>
        <d v="2025-03-21T00:00:00"/>
        <d v="2025-03-23T00:00:00"/>
        <d v="2025-03-25T00:00:00"/>
        <d v="2025-03-26T00:00:00"/>
        <d v="2025-03-28T00:00:00"/>
        <d v="2025-03-29T00:00:00"/>
        <d v="2025-04-01T00:00:00"/>
        <d v="2025-04-04T00:00:00"/>
        <d v="2025-04-06T00:00:00"/>
        <d v="2025-04-10T00:00:00"/>
        <d v="2025-04-13T00:00:00"/>
        <d v="2025-04-17T00:00:00"/>
        <d v="2025-04-21T00:00:00"/>
        <d v="2025-04-24T00:00:00"/>
        <d v="2025-04-26T00:00:00"/>
        <d v="2025-04-29T00:00:00"/>
        <d v="2025-04-30T00:00:00"/>
        <d v="2025-05-01T00:00:00"/>
        <d v="2025-05-02T00:00:00"/>
        <d v="2025-05-04T00:00:00"/>
        <d v="2025-05-05T00:00:00"/>
        <d v="2025-05-07T00:00:00"/>
        <d v="2025-05-09T00:00:00"/>
        <d v="2025-05-10T00:00:00"/>
        <d v="2025-05-11T00:00:00"/>
        <d v="2025-05-12T00:00:00"/>
        <d v="2025-05-15T00:00:00"/>
        <d v="2025-05-16T00:00:00"/>
        <d v="2025-06-01T00:00:00"/>
        <d v="2025-06-08T00:00:00"/>
        <d v="2025-06-09T00:00:00"/>
        <d v="2025-06-10T00:00:00"/>
        <d v="2025-06-12T00:00:00"/>
        <d v="2025-06-14T00:00:00"/>
        <d v="2025-06-17T00:00:00"/>
        <d v="2025-06-18T00:00:00"/>
        <d v="2025-06-20T00:00:00"/>
        <d v="2025-06-27T00:00:00"/>
        <d v="2025-06-29T00:00:00"/>
        <d v="2025-07-01T00:00:00"/>
        <d v="2025-07-03T00:00:00"/>
        <d v="2025-07-05T00:00:00"/>
        <d v="2025-07-07T00:00:00"/>
        <d v="2025-07-08T00:00:00"/>
        <d v="2025-07-10T00:00:00"/>
        <d v="2025-07-12T00:00:00"/>
        <d v="2025-07-13T00:00:00"/>
        <d v="2025-07-15T00:00:00"/>
        <d v="2025-07-17T00:00:00"/>
        <d v="2025-07-19T00:00:00"/>
        <d v="2025-07-20T00:00:00"/>
        <d v="2025-07-22T00:00:00"/>
        <d v="2025-07-24T00:00:00"/>
        <d v="2025-07-26T00:00:00"/>
        <d v="2025-08-01T00:00:00"/>
        <d v="2025-08-03T00:00:00"/>
        <d v="2025-08-04T00:00:00"/>
        <d v="2025-08-06T00:00:00"/>
        <d v="2025-08-07T00:00:00"/>
        <d v="2025-08-09T00:00:00"/>
        <d v="2025-08-11T00:00:00"/>
        <d v="2025-08-12T00:00:00"/>
        <d v="2025-08-14T00:00:00"/>
        <d v="2025-08-16T00:00:00"/>
        <d v="2025-08-18T00:00:00"/>
        <d v="2025-08-19T00:00:00"/>
        <d v="2025-09-01T00:00:00"/>
        <d v="2025-09-02T00:00:00"/>
        <d v="2025-09-04T00:00:00"/>
        <d v="2025-09-06T00:00:00"/>
        <d v="2025-09-09T00:00:00"/>
        <d v="2025-09-12T00:00:00"/>
        <d v="2025-09-15T00:00:00"/>
        <d v="2025-09-17T00:00:00"/>
        <d v="2025-09-18T00:00:00"/>
        <d v="2025-09-21T00:00:00"/>
        <d v="2025-09-24T00:00:00"/>
        <d v="2025-09-25T00:00:00"/>
        <d v="2025-09-27T00:00:00"/>
        <d v="2025-09-28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3T00:00:00"/>
        <d v="2025-12-26T00:00:00"/>
        <d v="2025-12-27T00:00:00"/>
        <d v="2025-12-29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2-01T00:00:00"/>
        <d v="2026-02-03T00:00:00"/>
        <d v="2026-02-04T00:00:00"/>
        <d v="2026-02-05T00:00:00"/>
        <d v="2026-02-06T00:00:00"/>
        <d v="2026-02-07T00:00:00"/>
        <d v="2026-03-02T00:00:00"/>
        <d v="2026-03-03T00:00:00"/>
        <d v="2026-03-04T00:00:00"/>
        <d v="2026-03-05T00:00:00"/>
        <d v="2026-03-06T00:00:00"/>
        <d v="2026-03-07T00:00:00"/>
        <d v="2026-03-08T00:00:00"/>
        <d v="2026-03-09T00:00:00"/>
        <d v="2026-03-10T00:00:00"/>
        <d v="2026-03-11T00:00:00"/>
        <d v="2026-03-12T00:00:00"/>
        <d v="2026-03-13T00:00:00"/>
        <d v="2026-03-14T00:00:00"/>
        <d v="2026-03-15T00:00:00"/>
      </sharedItems>
    </cacheField>
    <cacheField name="Month" numFmtId="0">
      <sharedItems count="12">
        <s v="January"/>
        <s v="February"/>
        <s v="March"/>
        <s v="April"/>
        <s v="May"/>
        <s v="June"/>
        <s v="July"/>
        <s v="August"/>
        <s v="September"/>
        <s v="October"/>
        <s v="November"/>
        <s v="December"/>
      </sharedItems>
    </cacheField>
    <cacheField name="Saleperson" numFmtId="0">
      <sharedItems count="12">
        <s v="John"/>
        <s v="Jane"/>
        <s v="Sarah"/>
        <s v="Anna"/>
        <s v="Kevin"/>
        <s v="Michael"/>
        <s v="Sophia"/>
        <s v="Daniel"/>
        <s v="Grace"/>
        <s v="Mark"/>
        <s v="David"/>
        <s v="Peter"/>
      </sharedItems>
    </cacheField>
    <cacheField name="Region" numFmtId="0">
      <sharedItems count="4">
        <s v="North"/>
        <s v="East"/>
        <s v="West"/>
        <s v="South"/>
      </sharedItems>
    </cacheField>
    <cacheField name="Customer" numFmtId="0">
      <sharedItems/>
    </cacheField>
    <cacheField name="Customer Type" numFmtId="0">
      <sharedItems count="3">
        <s v="Corporate"/>
        <s v="Retail"/>
        <s v="Government"/>
      </sharedItems>
    </cacheField>
    <cacheField name="Product Category" numFmtId="0">
      <sharedItems count="3">
        <s v="Electronics"/>
        <s v="Furniture"/>
        <s v="Office Supplies"/>
      </sharedItems>
    </cacheField>
    <cacheField name="Product" numFmtId="0">
      <sharedItems count="19">
        <s v="Monitor"/>
        <s v="Table"/>
        <s v="Bond Paper"/>
        <s v="Laptop"/>
        <s v="Scissors"/>
        <s v="Office Chair"/>
        <s v="Cabinet"/>
        <s v="Projector"/>
        <s v="Printer"/>
        <s v="Mouse"/>
        <s v="Desk"/>
        <s v="Stapler"/>
        <s v="Shelf"/>
        <s v="Ballpen"/>
        <s v="Marker"/>
        <s v="Keyboard"/>
        <s v="Notebook"/>
        <s v="Envelope"/>
        <s v="Folder"/>
      </sharedItems>
    </cacheField>
    <cacheField name="Quantity" numFmtId="0">
      <sharedItems containsSemiMixedTypes="0" containsString="0" containsNumber="1" containsInteger="1" minValue="1" maxValue="10"/>
    </cacheField>
    <cacheField name="Unit Price" numFmtId="165">
      <sharedItems containsSemiMixedTypes="0" containsString="0" containsNumber="1" containsInteger="1" minValue="32" maxValue="20000"/>
    </cacheField>
    <cacheField name="Discount%" numFmtId="9">
      <sharedItems containsSemiMixedTypes="0" containsString="0" containsNumber="1" minValue="0" maxValue="0.15"/>
    </cacheField>
    <cacheField name="Payment Method" numFmtId="0">
      <sharedItems count="4">
        <s v="Cash"/>
        <s v="Gcash"/>
        <s v="Bank Transfer"/>
        <s v="Credit Card"/>
      </sharedItems>
    </cacheField>
    <cacheField name="Quarter" numFmtId="0">
      <sharedItems/>
    </cacheField>
    <cacheField name="Year" numFmtId="0">
      <sharedItems containsSemiMixedTypes="0" containsString="0" containsNumber="1" containsInteger="1" minValue="2025" maxValue="2026" count="2">
        <n v="2025"/>
        <n v="2026"/>
      </sharedItems>
    </cacheField>
    <cacheField name="Gross Sales" numFmtId="165">
      <sharedItems containsSemiMixedTypes="0" containsString="0" containsNumber="1" containsInteger="1" minValue="60" maxValue="200000"/>
    </cacheField>
    <cacheField name="Discount Amount" numFmtId="165">
      <sharedItems containsSemiMixedTypes="0" containsString="0" containsNumber="1" minValue="0" maxValue="30000"/>
    </cacheField>
    <cacheField name="Net Sales" numFmtId="165">
      <sharedItems containsSemiMixedTypes="0" containsString="0" containsNumber="1" minValue="57.6" maxValue="200000"/>
    </cacheField>
  </cacheFields>
  <extLst>
    <ext xmlns:x14="http://schemas.microsoft.com/office/spreadsheetml/2009/9/main" uri="{725AE2AE-9491-48be-B2B4-4EB974FC3084}">
      <x14:pivotCacheDefinition pivotCacheId="3000449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s v="ORD-2026-0001"/>
    <x v="0"/>
    <x v="0"/>
    <x v="0"/>
    <x v="0"/>
    <s v="Alpha Distribution"/>
    <x v="0"/>
    <x v="0"/>
    <x v="0"/>
    <n v="6"/>
    <n v="6000"/>
    <n v="0.1"/>
    <x v="0"/>
    <s v="Q1"/>
    <x v="0"/>
    <n v="36000"/>
    <n v="3600"/>
    <n v="32400"/>
  </r>
  <r>
    <s v="ORD-2026-0002"/>
    <x v="1"/>
    <x v="0"/>
    <x v="1"/>
    <x v="1"/>
    <s v="Evergreen Supermarket"/>
    <x v="1"/>
    <x v="1"/>
    <x v="1"/>
    <n v="10"/>
    <n v="7500"/>
    <n v="0"/>
    <x v="1"/>
    <s v="Q1"/>
    <x v="0"/>
    <n v="75000"/>
    <n v="0"/>
    <n v="75000"/>
  </r>
  <r>
    <s v="ORD-2026-0003"/>
    <x v="2"/>
    <x v="0"/>
    <x v="2"/>
    <x v="2"/>
    <s v="City Government"/>
    <x v="2"/>
    <x v="2"/>
    <x v="2"/>
    <n v="9"/>
    <n v="180"/>
    <n v="0.15"/>
    <x v="0"/>
    <s v="Q1"/>
    <x v="0"/>
    <n v="1620"/>
    <n v="243"/>
    <n v="1377"/>
  </r>
  <r>
    <s v="ORD-2026-0004"/>
    <x v="3"/>
    <x v="0"/>
    <x v="3"/>
    <x v="3"/>
    <s v="Prime Office Supply"/>
    <x v="1"/>
    <x v="0"/>
    <x v="3"/>
    <n v="7"/>
    <n v="20000"/>
    <n v="0"/>
    <x v="2"/>
    <s v="Q1"/>
    <x v="0"/>
    <n v="140000"/>
    <n v="0"/>
    <n v="140000"/>
  </r>
  <r>
    <s v="ORD-2026-0005"/>
    <x v="4"/>
    <x v="0"/>
    <x v="4"/>
    <x v="3"/>
    <s v="Bright Future Academy"/>
    <x v="1"/>
    <x v="0"/>
    <x v="3"/>
    <n v="10"/>
    <n v="20000"/>
    <n v="0"/>
    <x v="1"/>
    <s v="Q1"/>
    <x v="0"/>
    <n v="200000"/>
    <n v="0"/>
    <n v="200000"/>
  </r>
  <r>
    <s v="ORD-2026-0006"/>
    <x v="5"/>
    <x v="0"/>
    <x v="5"/>
    <x v="2"/>
    <s v="Green Valley School"/>
    <x v="2"/>
    <x v="2"/>
    <x v="4"/>
    <n v="2"/>
    <n v="190"/>
    <n v="0.15"/>
    <x v="1"/>
    <s v="Q1"/>
    <x v="0"/>
    <n v="380"/>
    <n v="57"/>
    <n v="323"/>
  </r>
  <r>
    <s v="ORD-2026-0007"/>
    <x v="5"/>
    <x v="0"/>
    <x v="6"/>
    <x v="0"/>
    <s v="North Star Trading"/>
    <x v="2"/>
    <x v="1"/>
    <x v="5"/>
    <n v="5"/>
    <n v="4200"/>
    <n v="0.15"/>
    <x v="3"/>
    <s v="Q1"/>
    <x v="0"/>
    <n v="21000"/>
    <n v="3150"/>
    <n v="17850"/>
  </r>
  <r>
    <s v="ORD-2026-0008"/>
    <x v="5"/>
    <x v="0"/>
    <x v="0"/>
    <x v="0"/>
    <s v="Prestige Holdings"/>
    <x v="0"/>
    <x v="2"/>
    <x v="4"/>
    <n v="8"/>
    <n v="190"/>
    <n v="0.1"/>
    <x v="0"/>
    <s v="Q1"/>
    <x v="0"/>
    <n v="1520"/>
    <n v="152"/>
    <n v="1368"/>
  </r>
  <r>
    <s v="ORD-2026-0009"/>
    <x v="6"/>
    <x v="0"/>
    <x v="7"/>
    <x v="1"/>
    <s v="Prime Office Supply"/>
    <x v="1"/>
    <x v="1"/>
    <x v="6"/>
    <n v="1"/>
    <n v="5200"/>
    <n v="0"/>
    <x v="1"/>
    <s v="Q1"/>
    <x v="0"/>
    <n v="5200"/>
    <n v="0"/>
    <n v="5200"/>
  </r>
  <r>
    <s v="ORD-2026-0010"/>
    <x v="6"/>
    <x v="0"/>
    <x v="8"/>
    <x v="3"/>
    <s v="Metro Electronics"/>
    <x v="1"/>
    <x v="0"/>
    <x v="7"/>
    <n v="7"/>
    <n v="9500"/>
    <n v="0"/>
    <x v="0"/>
    <s v="Q1"/>
    <x v="0"/>
    <n v="66500"/>
    <n v="0"/>
    <n v="66500"/>
  </r>
  <r>
    <s v="ORD-2026-0011"/>
    <x v="7"/>
    <x v="0"/>
    <x v="9"/>
    <x v="2"/>
    <s v="Prime Office Supply"/>
    <x v="1"/>
    <x v="2"/>
    <x v="8"/>
    <n v="8"/>
    <n v="5000"/>
    <n v="0"/>
    <x v="1"/>
    <s v="Q1"/>
    <x v="0"/>
    <n v="40000"/>
    <n v="0"/>
    <n v="40000"/>
  </r>
  <r>
    <s v="ORD-2026-0012"/>
    <x v="8"/>
    <x v="0"/>
    <x v="2"/>
    <x v="2"/>
    <s v="Metro Electronics"/>
    <x v="1"/>
    <x v="0"/>
    <x v="3"/>
    <n v="4"/>
    <n v="20000"/>
    <n v="0"/>
    <x v="0"/>
    <s v="Q1"/>
    <x v="0"/>
    <n v="80000"/>
    <n v="0"/>
    <n v="80000"/>
  </r>
  <r>
    <s v="ORD-2026-0013"/>
    <x v="9"/>
    <x v="0"/>
    <x v="4"/>
    <x v="3"/>
    <s v="Green Valley School"/>
    <x v="2"/>
    <x v="1"/>
    <x v="5"/>
    <n v="10"/>
    <n v="4200"/>
    <n v="0.15"/>
    <x v="2"/>
    <s v="Q1"/>
    <x v="0"/>
    <n v="42000"/>
    <n v="6300"/>
    <n v="35700"/>
  </r>
  <r>
    <s v="ORD-2026-0014"/>
    <x v="10"/>
    <x v="0"/>
    <x v="5"/>
    <x v="2"/>
    <s v="Tech Solutions Inc."/>
    <x v="1"/>
    <x v="0"/>
    <x v="9"/>
    <n v="3"/>
    <n v="720"/>
    <n v="0"/>
    <x v="1"/>
    <s v="Q1"/>
    <x v="0"/>
    <n v="2160"/>
    <n v="0"/>
    <n v="2160"/>
  </r>
  <r>
    <s v="ORD-2026-0015"/>
    <x v="11"/>
    <x v="1"/>
    <x v="0"/>
    <x v="0"/>
    <s v="City Government"/>
    <x v="2"/>
    <x v="1"/>
    <x v="1"/>
    <n v="2"/>
    <n v="7500"/>
    <n v="0.15"/>
    <x v="3"/>
    <s v="Q1"/>
    <x v="0"/>
    <n v="15000"/>
    <n v="2250"/>
    <n v="12750"/>
  </r>
  <r>
    <s v="ORD-2026-0016"/>
    <x v="11"/>
    <x v="1"/>
    <x v="6"/>
    <x v="0"/>
    <s v="Green Valley School"/>
    <x v="2"/>
    <x v="1"/>
    <x v="10"/>
    <n v="9"/>
    <n v="6900"/>
    <n v="0.15"/>
    <x v="2"/>
    <s v="Q1"/>
    <x v="0"/>
    <n v="62100"/>
    <n v="9315"/>
    <n v="52785"/>
  </r>
  <r>
    <s v="ORD-2026-0017"/>
    <x v="12"/>
    <x v="1"/>
    <x v="3"/>
    <x v="3"/>
    <s v="Tech Solutions Inc."/>
    <x v="1"/>
    <x v="1"/>
    <x v="6"/>
    <n v="10"/>
    <n v="5200"/>
    <n v="0"/>
    <x v="1"/>
    <s v="Q1"/>
    <x v="0"/>
    <n v="52000"/>
    <n v="0"/>
    <n v="52000"/>
  </r>
  <r>
    <s v="ORD-2026-0018"/>
    <x v="13"/>
    <x v="1"/>
    <x v="7"/>
    <x v="1"/>
    <s v="Tech Solutions Inc."/>
    <x v="1"/>
    <x v="2"/>
    <x v="2"/>
    <n v="4"/>
    <n v="180"/>
    <n v="0"/>
    <x v="2"/>
    <s v="Q1"/>
    <x v="0"/>
    <n v="720"/>
    <n v="0"/>
    <n v="720"/>
  </r>
  <r>
    <s v="ORD-2026-0019"/>
    <x v="14"/>
    <x v="1"/>
    <x v="0"/>
    <x v="0"/>
    <s v="Central Pharmacy"/>
    <x v="1"/>
    <x v="1"/>
    <x v="5"/>
    <n v="3"/>
    <n v="4200"/>
    <n v="0"/>
    <x v="0"/>
    <s v="Q1"/>
    <x v="0"/>
    <n v="12600"/>
    <n v="0"/>
    <n v="12600"/>
  </r>
  <r>
    <s v="ORD-2026-0020"/>
    <x v="15"/>
    <x v="1"/>
    <x v="9"/>
    <x v="2"/>
    <s v="Metro Electronics"/>
    <x v="1"/>
    <x v="2"/>
    <x v="11"/>
    <n v="2"/>
    <n v="210"/>
    <n v="0"/>
    <x v="3"/>
    <s v="Q1"/>
    <x v="0"/>
    <n v="420"/>
    <n v="0"/>
    <n v="420"/>
  </r>
  <r>
    <s v="ORD-2026-0021"/>
    <x v="16"/>
    <x v="1"/>
    <x v="2"/>
    <x v="2"/>
    <s v="Golden Hardware"/>
    <x v="1"/>
    <x v="1"/>
    <x v="12"/>
    <n v="6"/>
    <n v="3100"/>
    <n v="0"/>
    <x v="2"/>
    <s v="Q1"/>
    <x v="0"/>
    <n v="18600"/>
    <n v="0"/>
    <n v="18600"/>
  </r>
  <r>
    <s v="ORD-2026-0022"/>
    <x v="17"/>
    <x v="1"/>
    <x v="10"/>
    <x v="3"/>
    <s v="Prime Office Supply"/>
    <x v="1"/>
    <x v="2"/>
    <x v="13"/>
    <n v="3"/>
    <n v="60"/>
    <n v="0"/>
    <x v="2"/>
    <s v="Q1"/>
    <x v="0"/>
    <n v="180"/>
    <n v="0"/>
    <n v="180"/>
  </r>
  <r>
    <s v="ORD-2026-0023"/>
    <x v="18"/>
    <x v="1"/>
    <x v="5"/>
    <x v="2"/>
    <s v="Metro Electronics"/>
    <x v="1"/>
    <x v="1"/>
    <x v="6"/>
    <n v="7"/>
    <n v="5200"/>
    <n v="0"/>
    <x v="3"/>
    <s v="Q1"/>
    <x v="0"/>
    <n v="36400"/>
    <n v="0"/>
    <n v="36400"/>
  </r>
  <r>
    <s v="ORD-2026-0024"/>
    <x v="19"/>
    <x v="1"/>
    <x v="6"/>
    <x v="0"/>
    <s v="Sunrise Retail"/>
    <x v="1"/>
    <x v="2"/>
    <x v="11"/>
    <n v="3"/>
    <n v="210"/>
    <n v="0"/>
    <x v="3"/>
    <s v="Q1"/>
    <x v="0"/>
    <n v="630"/>
    <n v="0"/>
    <n v="630"/>
  </r>
  <r>
    <s v="ORD-2026-0025"/>
    <x v="20"/>
    <x v="1"/>
    <x v="1"/>
    <x v="1"/>
    <s v="Apex Manufacturing"/>
    <x v="1"/>
    <x v="0"/>
    <x v="3"/>
    <n v="6"/>
    <n v="20000"/>
    <n v="0"/>
    <x v="3"/>
    <s v="Q1"/>
    <x v="0"/>
    <n v="120000"/>
    <n v="0"/>
    <n v="120000"/>
  </r>
  <r>
    <s v="ORD-2026-0026"/>
    <x v="21"/>
    <x v="1"/>
    <x v="3"/>
    <x v="3"/>
    <s v="Metro Electronics"/>
    <x v="1"/>
    <x v="1"/>
    <x v="5"/>
    <n v="3"/>
    <n v="4200"/>
    <n v="0"/>
    <x v="0"/>
    <s v="Q1"/>
    <x v="0"/>
    <n v="12600"/>
    <n v="0"/>
    <n v="12600"/>
  </r>
  <r>
    <s v="ORD-2026-0027"/>
    <x v="22"/>
    <x v="2"/>
    <x v="4"/>
    <x v="3"/>
    <s v="North Star Trading"/>
    <x v="2"/>
    <x v="2"/>
    <x v="8"/>
    <n v="4"/>
    <n v="5000"/>
    <n v="0.15"/>
    <x v="0"/>
    <s v="Q1"/>
    <x v="0"/>
    <n v="20000"/>
    <n v="3000"/>
    <n v="17000"/>
  </r>
  <r>
    <s v="ORD-2026-0028"/>
    <x v="23"/>
    <x v="2"/>
    <x v="7"/>
    <x v="1"/>
    <s v="Green Valley School"/>
    <x v="2"/>
    <x v="2"/>
    <x v="14"/>
    <n v="5"/>
    <n v="90"/>
    <n v="0.15"/>
    <x v="0"/>
    <s v="Q1"/>
    <x v="0"/>
    <n v="450"/>
    <n v="67.5"/>
    <n v="382.5"/>
  </r>
  <r>
    <s v="ORD-2026-0029"/>
    <x v="23"/>
    <x v="2"/>
    <x v="9"/>
    <x v="2"/>
    <s v="Sunrise Retail"/>
    <x v="1"/>
    <x v="2"/>
    <x v="2"/>
    <n v="10"/>
    <n v="180"/>
    <n v="0"/>
    <x v="0"/>
    <s v="Q1"/>
    <x v="0"/>
    <n v="1800"/>
    <n v="0"/>
    <n v="1800"/>
  </r>
  <r>
    <s v="ORD-2026-0030"/>
    <x v="24"/>
    <x v="2"/>
    <x v="0"/>
    <x v="0"/>
    <s v="Metro Electronics"/>
    <x v="1"/>
    <x v="2"/>
    <x v="11"/>
    <n v="6"/>
    <n v="210"/>
    <n v="0"/>
    <x v="1"/>
    <s v="Q1"/>
    <x v="0"/>
    <n v="1260"/>
    <n v="0"/>
    <n v="1260"/>
  </r>
  <r>
    <s v="ORD-2026-0031"/>
    <x v="25"/>
    <x v="2"/>
    <x v="2"/>
    <x v="2"/>
    <s v="Summit Engineering"/>
    <x v="0"/>
    <x v="0"/>
    <x v="15"/>
    <n v="10"/>
    <n v="850"/>
    <n v="0.1"/>
    <x v="3"/>
    <s v="Q1"/>
    <x v="0"/>
    <n v="8500"/>
    <n v="850"/>
    <n v="7650"/>
  </r>
  <r>
    <s v="ORD-2026-0032"/>
    <x v="26"/>
    <x v="2"/>
    <x v="5"/>
    <x v="2"/>
    <s v="North Star Trading"/>
    <x v="2"/>
    <x v="0"/>
    <x v="3"/>
    <n v="1"/>
    <n v="20000"/>
    <n v="0.15"/>
    <x v="1"/>
    <s v="Q1"/>
    <x v="0"/>
    <n v="20000"/>
    <n v="3000"/>
    <n v="17000"/>
  </r>
  <r>
    <s v="ORD-2026-0033"/>
    <x v="27"/>
    <x v="2"/>
    <x v="1"/>
    <x v="1"/>
    <s v="Green Valley School"/>
    <x v="2"/>
    <x v="0"/>
    <x v="0"/>
    <n v="6"/>
    <n v="6000"/>
    <n v="0.15"/>
    <x v="0"/>
    <s v="Q1"/>
    <x v="0"/>
    <n v="36000"/>
    <n v="5400"/>
    <n v="30600"/>
  </r>
  <r>
    <s v="ORD-2026-0034"/>
    <x v="28"/>
    <x v="2"/>
    <x v="6"/>
    <x v="0"/>
    <s v="Central Pharmacy"/>
    <x v="1"/>
    <x v="2"/>
    <x v="13"/>
    <n v="9"/>
    <n v="60"/>
    <n v="0"/>
    <x v="0"/>
    <s v="Q1"/>
    <x v="0"/>
    <n v="540"/>
    <n v="0"/>
    <n v="540"/>
  </r>
  <r>
    <s v="ORD-2026-0035"/>
    <x v="29"/>
    <x v="2"/>
    <x v="8"/>
    <x v="3"/>
    <s v="City Government"/>
    <x v="2"/>
    <x v="0"/>
    <x v="9"/>
    <n v="7"/>
    <n v="720"/>
    <n v="0.15"/>
    <x v="2"/>
    <s v="Q1"/>
    <x v="0"/>
    <n v="5040"/>
    <n v="756"/>
    <n v="4284"/>
  </r>
  <r>
    <s v="ORD-2026-0036"/>
    <x v="30"/>
    <x v="2"/>
    <x v="11"/>
    <x v="0"/>
    <s v="Prime Office Supply"/>
    <x v="1"/>
    <x v="1"/>
    <x v="12"/>
    <n v="3"/>
    <n v="3100"/>
    <n v="0"/>
    <x v="3"/>
    <s v="Q1"/>
    <x v="0"/>
    <n v="9300"/>
    <n v="0"/>
    <n v="9300"/>
  </r>
  <r>
    <s v="ORD-2026-0037"/>
    <x v="31"/>
    <x v="2"/>
    <x v="8"/>
    <x v="3"/>
    <s v="Apex Manufacturing"/>
    <x v="1"/>
    <x v="2"/>
    <x v="13"/>
    <n v="7"/>
    <n v="60"/>
    <n v="0"/>
    <x v="1"/>
    <s v="Q1"/>
    <x v="0"/>
    <n v="420"/>
    <n v="0"/>
    <n v="420"/>
  </r>
  <r>
    <s v="ORD-2026-0038"/>
    <x v="31"/>
    <x v="2"/>
    <x v="7"/>
    <x v="1"/>
    <s v="Green Valley School"/>
    <x v="2"/>
    <x v="2"/>
    <x v="16"/>
    <n v="4"/>
    <n v="120"/>
    <n v="0.15"/>
    <x v="3"/>
    <s v="Q1"/>
    <x v="0"/>
    <n v="480"/>
    <n v="72"/>
    <n v="408"/>
  </r>
  <r>
    <s v="ORD-2026-0039"/>
    <x v="32"/>
    <x v="2"/>
    <x v="3"/>
    <x v="3"/>
    <s v="Tech Solutions Inc."/>
    <x v="1"/>
    <x v="2"/>
    <x v="11"/>
    <n v="6"/>
    <n v="210"/>
    <n v="0"/>
    <x v="1"/>
    <s v="Q1"/>
    <x v="0"/>
    <n v="1260"/>
    <n v="0"/>
    <n v="1260"/>
  </r>
  <r>
    <s v="ORD-2026-0040"/>
    <x v="33"/>
    <x v="2"/>
    <x v="2"/>
    <x v="2"/>
    <s v="Prime Office Supply"/>
    <x v="1"/>
    <x v="2"/>
    <x v="2"/>
    <n v="2"/>
    <n v="180"/>
    <n v="0"/>
    <x v="3"/>
    <s v="Q1"/>
    <x v="0"/>
    <n v="360"/>
    <n v="0"/>
    <n v="360"/>
  </r>
  <r>
    <s v="ORD-2026-0041"/>
    <x v="34"/>
    <x v="2"/>
    <x v="4"/>
    <x v="3"/>
    <s v="North Star Trading"/>
    <x v="2"/>
    <x v="2"/>
    <x v="8"/>
    <n v="8"/>
    <n v="5000"/>
    <n v="0.15"/>
    <x v="0"/>
    <s v="Q1"/>
    <x v="0"/>
    <n v="40000"/>
    <n v="6000"/>
    <n v="34000"/>
  </r>
  <r>
    <s v="ORD-2026-0042"/>
    <x v="34"/>
    <x v="2"/>
    <x v="1"/>
    <x v="1"/>
    <s v="Central Pharmacy"/>
    <x v="1"/>
    <x v="2"/>
    <x v="17"/>
    <n v="7"/>
    <n v="32"/>
    <n v="0"/>
    <x v="1"/>
    <s v="Q1"/>
    <x v="0"/>
    <n v="224"/>
    <n v="0"/>
    <n v="224"/>
  </r>
  <r>
    <s v="ORD-2026-0043"/>
    <x v="35"/>
    <x v="2"/>
    <x v="5"/>
    <x v="2"/>
    <s v="XYZ Trading"/>
    <x v="1"/>
    <x v="2"/>
    <x v="11"/>
    <n v="3"/>
    <n v="210"/>
    <n v="0"/>
    <x v="2"/>
    <s v="Q1"/>
    <x v="0"/>
    <n v="630"/>
    <n v="0"/>
    <n v="630"/>
  </r>
  <r>
    <s v="ORD-2026-0044"/>
    <x v="36"/>
    <x v="3"/>
    <x v="9"/>
    <x v="2"/>
    <s v="Prime Office Supply"/>
    <x v="1"/>
    <x v="0"/>
    <x v="0"/>
    <n v="3"/>
    <n v="6000"/>
    <n v="0"/>
    <x v="3"/>
    <s v="Q2"/>
    <x v="0"/>
    <n v="18000"/>
    <n v="0"/>
    <n v="18000"/>
  </r>
  <r>
    <s v="ORD-2026-0045"/>
    <x v="36"/>
    <x v="3"/>
    <x v="0"/>
    <x v="0"/>
    <s v="Global Logistics"/>
    <x v="1"/>
    <x v="1"/>
    <x v="6"/>
    <n v="5"/>
    <n v="5200"/>
    <n v="0"/>
    <x v="1"/>
    <s v="Q2"/>
    <x v="0"/>
    <n v="26000"/>
    <n v="0"/>
    <n v="26000"/>
  </r>
  <r>
    <s v="ORD-2026-0046"/>
    <x v="37"/>
    <x v="3"/>
    <x v="6"/>
    <x v="0"/>
    <s v="Tech Solutions Inc."/>
    <x v="1"/>
    <x v="1"/>
    <x v="5"/>
    <n v="4"/>
    <n v="4200"/>
    <n v="0"/>
    <x v="3"/>
    <s v="Q2"/>
    <x v="0"/>
    <n v="16800"/>
    <n v="0"/>
    <n v="16800"/>
  </r>
  <r>
    <s v="ORD-2026-0047"/>
    <x v="37"/>
    <x v="3"/>
    <x v="10"/>
    <x v="3"/>
    <s v="XYZ Trading"/>
    <x v="1"/>
    <x v="2"/>
    <x v="16"/>
    <n v="4"/>
    <n v="120"/>
    <n v="0"/>
    <x v="3"/>
    <s v="Q2"/>
    <x v="0"/>
    <n v="480"/>
    <n v="0"/>
    <n v="480"/>
  </r>
  <r>
    <s v="ORD-2026-0048"/>
    <x v="38"/>
    <x v="3"/>
    <x v="7"/>
    <x v="1"/>
    <s v="Prime Office Supply"/>
    <x v="1"/>
    <x v="1"/>
    <x v="1"/>
    <n v="7"/>
    <n v="7500"/>
    <n v="0"/>
    <x v="2"/>
    <s v="Q2"/>
    <x v="0"/>
    <n v="52500"/>
    <n v="0"/>
    <n v="52500"/>
  </r>
  <r>
    <s v="ORD-2026-0049"/>
    <x v="38"/>
    <x v="3"/>
    <x v="11"/>
    <x v="0"/>
    <s v="XYZ Trading"/>
    <x v="1"/>
    <x v="1"/>
    <x v="5"/>
    <n v="4"/>
    <n v="4200"/>
    <n v="0"/>
    <x v="0"/>
    <s v="Q2"/>
    <x v="0"/>
    <n v="16800"/>
    <n v="0"/>
    <n v="16800"/>
  </r>
  <r>
    <s v="ORD-2026-0050"/>
    <x v="39"/>
    <x v="3"/>
    <x v="8"/>
    <x v="3"/>
    <s v="Golden Hardware"/>
    <x v="1"/>
    <x v="1"/>
    <x v="6"/>
    <n v="2"/>
    <n v="5200"/>
    <n v="0"/>
    <x v="2"/>
    <s v="Q2"/>
    <x v="0"/>
    <n v="10400"/>
    <n v="0"/>
    <n v="10400"/>
  </r>
  <r>
    <s v="ORD-2026-0051"/>
    <x v="40"/>
    <x v="3"/>
    <x v="2"/>
    <x v="2"/>
    <s v="Orion Industries"/>
    <x v="1"/>
    <x v="2"/>
    <x v="2"/>
    <n v="7"/>
    <n v="180"/>
    <n v="0"/>
    <x v="1"/>
    <s v="Q2"/>
    <x v="0"/>
    <n v="1260"/>
    <n v="0"/>
    <n v="1260"/>
  </r>
  <r>
    <s v="ORD-2026-0052"/>
    <x v="41"/>
    <x v="3"/>
    <x v="8"/>
    <x v="3"/>
    <s v="XYZ Trading"/>
    <x v="1"/>
    <x v="2"/>
    <x v="16"/>
    <n v="7"/>
    <n v="120"/>
    <n v="0"/>
    <x v="2"/>
    <s v="Q2"/>
    <x v="0"/>
    <n v="840"/>
    <n v="0"/>
    <n v="840"/>
  </r>
  <r>
    <s v="ORD-2026-0053"/>
    <x v="42"/>
    <x v="3"/>
    <x v="4"/>
    <x v="3"/>
    <s v="City Government"/>
    <x v="2"/>
    <x v="1"/>
    <x v="10"/>
    <n v="6"/>
    <n v="6900"/>
    <n v="0.15"/>
    <x v="3"/>
    <s v="Q2"/>
    <x v="0"/>
    <n v="41400"/>
    <n v="6210"/>
    <n v="35190"/>
  </r>
  <r>
    <s v="ORD-2026-0054"/>
    <x v="43"/>
    <x v="3"/>
    <x v="3"/>
    <x v="3"/>
    <s v="North Star Trading"/>
    <x v="2"/>
    <x v="2"/>
    <x v="16"/>
    <n v="1"/>
    <n v="120"/>
    <n v="0.15"/>
    <x v="0"/>
    <s v="Q2"/>
    <x v="0"/>
    <n v="120"/>
    <n v="18"/>
    <n v="102"/>
  </r>
  <r>
    <s v="ORD-2026-0055"/>
    <x v="43"/>
    <x v="3"/>
    <x v="2"/>
    <x v="2"/>
    <s v="Prime Office Supply"/>
    <x v="1"/>
    <x v="2"/>
    <x v="14"/>
    <n v="7"/>
    <n v="90"/>
    <n v="0"/>
    <x v="0"/>
    <s v="Q2"/>
    <x v="0"/>
    <n v="630"/>
    <n v="0"/>
    <n v="630"/>
  </r>
  <r>
    <s v="ORD-2026-0056"/>
    <x v="44"/>
    <x v="3"/>
    <x v="1"/>
    <x v="1"/>
    <s v="Tech Solutions Inc."/>
    <x v="1"/>
    <x v="0"/>
    <x v="15"/>
    <n v="4"/>
    <n v="850"/>
    <n v="0"/>
    <x v="1"/>
    <s v="Q2"/>
    <x v="0"/>
    <n v="3400"/>
    <n v="0"/>
    <n v="3400"/>
  </r>
  <r>
    <s v="ORD-2026-0057"/>
    <x v="45"/>
    <x v="3"/>
    <x v="10"/>
    <x v="3"/>
    <s v="Green Valley School"/>
    <x v="2"/>
    <x v="1"/>
    <x v="10"/>
    <n v="8"/>
    <n v="6900"/>
    <n v="0.15"/>
    <x v="0"/>
    <s v="Q2"/>
    <x v="0"/>
    <n v="55200"/>
    <n v="8280"/>
    <n v="46920"/>
  </r>
  <r>
    <s v="ORD-2026-0058"/>
    <x v="46"/>
    <x v="3"/>
    <x v="5"/>
    <x v="2"/>
    <s v="Apex Manufacturing"/>
    <x v="1"/>
    <x v="1"/>
    <x v="10"/>
    <n v="3"/>
    <n v="6900"/>
    <n v="0"/>
    <x v="3"/>
    <s v="Q2"/>
    <x v="0"/>
    <n v="20700"/>
    <n v="0"/>
    <n v="20700"/>
  </r>
  <r>
    <s v="ORD-2026-0059"/>
    <x v="46"/>
    <x v="3"/>
    <x v="9"/>
    <x v="2"/>
    <s v="XYZ Trading"/>
    <x v="1"/>
    <x v="2"/>
    <x v="4"/>
    <n v="3"/>
    <n v="190"/>
    <n v="0"/>
    <x v="2"/>
    <s v="Q2"/>
    <x v="0"/>
    <n v="570"/>
    <n v="0"/>
    <n v="570"/>
  </r>
  <r>
    <s v="ORD-2026-0060"/>
    <x v="46"/>
    <x v="3"/>
    <x v="6"/>
    <x v="0"/>
    <s v="Prime Office Supply"/>
    <x v="1"/>
    <x v="1"/>
    <x v="5"/>
    <n v="1"/>
    <n v="4200"/>
    <n v="0"/>
    <x v="3"/>
    <s v="Q2"/>
    <x v="0"/>
    <n v="4200"/>
    <n v="0"/>
    <n v="4200"/>
  </r>
  <r>
    <s v="ORD-2026-0061"/>
    <x v="47"/>
    <x v="4"/>
    <x v="11"/>
    <x v="0"/>
    <s v="Prime Office Supply"/>
    <x v="1"/>
    <x v="0"/>
    <x v="0"/>
    <n v="10"/>
    <n v="6000"/>
    <n v="0"/>
    <x v="0"/>
    <s v="Q2"/>
    <x v="0"/>
    <n v="60000"/>
    <n v="0"/>
    <n v="60000"/>
  </r>
  <r>
    <s v="ORD-2026-0062"/>
    <x v="47"/>
    <x v="4"/>
    <x v="0"/>
    <x v="0"/>
    <s v="XYZ Trading"/>
    <x v="1"/>
    <x v="2"/>
    <x v="8"/>
    <n v="1"/>
    <n v="5000"/>
    <n v="0"/>
    <x v="1"/>
    <s v="Q2"/>
    <x v="0"/>
    <n v="5000"/>
    <n v="0"/>
    <n v="5000"/>
  </r>
  <r>
    <s v="ORD-2026-0063"/>
    <x v="48"/>
    <x v="4"/>
    <x v="7"/>
    <x v="1"/>
    <s v="Nova Systems"/>
    <x v="0"/>
    <x v="1"/>
    <x v="5"/>
    <n v="1"/>
    <n v="4200"/>
    <n v="0.1"/>
    <x v="1"/>
    <s v="Q2"/>
    <x v="0"/>
    <n v="4200"/>
    <n v="420"/>
    <n v="3780"/>
  </r>
  <r>
    <s v="ORD-2026-0064"/>
    <x v="48"/>
    <x v="4"/>
    <x v="4"/>
    <x v="3"/>
    <s v="North Star Trading"/>
    <x v="2"/>
    <x v="0"/>
    <x v="15"/>
    <n v="2"/>
    <n v="850"/>
    <n v="0.15"/>
    <x v="0"/>
    <s v="Q2"/>
    <x v="0"/>
    <n v="1700"/>
    <n v="255"/>
    <n v="1445"/>
  </r>
  <r>
    <s v="ORD-2026-0065"/>
    <x v="49"/>
    <x v="4"/>
    <x v="1"/>
    <x v="1"/>
    <s v="Green Valley School"/>
    <x v="2"/>
    <x v="2"/>
    <x v="14"/>
    <n v="6"/>
    <n v="90"/>
    <n v="0.15"/>
    <x v="0"/>
    <s v="Q2"/>
    <x v="0"/>
    <n v="540"/>
    <n v="81"/>
    <n v="459"/>
  </r>
  <r>
    <s v="ORD-2026-0066"/>
    <x v="49"/>
    <x v="4"/>
    <x v="11"/>
    <x v="0"/>
    <s v="Prime Office Supply"/>
    <x v="1"/>
    <x v="1"/>
    <x v="6"/>
    <n v="2"/>
    <n v="5200"/>
    <n v="0"/>
    <x v="2"/>
    <s v="Q2"/>
    <x v="0"/>
    <n v="10400"/>
    <n v="0"/>
    <n v="10400"/>
  </r>
  <r>
    <s v="ORD-2026-0067"/>
    <x v="50"/>
    <x v="4"/>
    <x v="10"/>
    <x v="3"/>
    <s v="Golden Hardware"/>
    <x v="1"/>
    <x v="1"/>
    <x v="6"/>
    <n v="6"/>
    <n v="5200"/>
    <n v="0"/>
    <x v="1"/>
    <s v="Q2"/>
    <x v="0"/>
    <n v="31200"/>
    <n v="0"/>
    <n v="31200"/>
  </r>
  <r>
    <s v="ORD-2026-0068"/>
    <x v="51"/>
    <x v="4"/>
    <x v="3"/>
    <x v="3"/>
    <s v="Central Pharmacy"/>
    <x v="1"/>
    <x v="0"/>
    <x v="0"/>
    <n v="1"/>
    <n v="6000"/>
    <n v="0"/>
    <x v="2"/>
    <s v="Q2"/>
    <x v="0"/>
    <n v="6000"/>
    <n v="0"/>
    <n v="6000"/>
  </r>
  <r>
    <s v="ORD-2026-0069"/>
    <x v="52"/>
    <x v="4"/>
    <x v="9"/>
    <x v="2"/>
    <s v="XYZ Trading"/>
    <x v="1"/>
    <x v="1"/>
    <x v="10"/>
    <n v="3"/>
    <n v="6900"/>
    <n v="0"/>
    <x v="2"/>
    <s v="Q2"/>
    <x v="0"/>
    <n v="20700"/>
    <n v="0"/>
    <n v="20700"/>
  </r>
  <r>
    <s v="ORD-2026-0070"/>
    <x v="53"/>
    <x v="4"/>
    <x v="2"/>
    <x v="2"/>
    <s v="Global Logistics"/>
    <x v="1"/>
    <x v="1"/>
    <x v="12"/>
    <n v="5"/>
    <n v="3100"/>
    <n v="0"/>
    <x v="0"/>
    <s v="Q2"/>
    <x v="0"/>
    <n v="15500"/>
    <n v="0"/>
    <n v="15500"/>
  </r>
  <r>
    <s v="ORD-2026-0071"/>
    <x v="54"/>
    <x v="4"/>
    <x v="4"/>
    <x v="3"/>
    <s v="Tech Solutions Inc."/>
    <x v="1"/>
    <x v="0"/>
    <x v="9"/>
    <n v="9"/>
    <n v="720"/>
    <n v="0"/>
    <x v="1"/>
    <s v="Q2"/>
    <x v="0"/>
    <n v="6480"/>
    <n v="0"/>
    <n v="6480"/>
  </r>
  <r>
    <s v="ORD-2026-0072"/>
    <x v="54"/>
    <x v="4"/>
    <x v="5"/>
    <x v="2"/>
    <s v="XYZ Trading"/>
    <x v="1"/>
    <x v="1"/>
    <x v="1"/>
    <n v="10"/>
    <n v="7500"/>
    <n v="0"/>
    <x v="2"/>
    <s v="Q2"/>
    <x v="0"/>
    <n v="75000"/>
    <n v="0"/>
    <n v="75000"/>
  </r>
  <r>
    <s v="ORD-2026-0073"/>
    <x v="54"/>
    <x v="4"/>
    <x v="6"/>
    <x v="0"/>
    <s v="Pioneer Construction"/>
    <x v="0"/>
    <x v="0"/>
    <x v="9"/>
    <n v="9"/>
    <n v="720"/>
    <n v="0.1"/>
    <x v="1"/>
    <s v="Q2"/>
    <x v="0"/>
    <n v="6480"/>
    <n v="648"/>
    <n v="5832"/>
  </r>
  <r>
    <s v="ORD-2026-0074"/>
    <x v="54"/>
    <x v="4"/>
    <x v="7"/>
    <x v="1"/>
    <s v="City Government"/>
    <x v="2"/>
    <x v="1"/>
    <x v="5"/>
    <n v="1"/>
    <n v="4200"/>
    <n v="0.15"/>
    <x v="2"/>
    <s v="Q2"/>
    <x v="0"/>
    <n v="4200"/>
    <n v="630"/>
    <n v="3570"/>
  </r>
  <r>
    <s v="ORD-2026-0075"/>
    <x v="55"/>
    <x v="4"/>
    <x v="1"/>
    <x v="1"/>
    <s v="Orion Industries"/>
    <x v="1"/>
    <x v="2"/>
    <x v="13"/>
    <n v="5"/>
    <n v="60"/>
    <n v="0"/>
    <x v="3"/>
    <s v="Q2"/>
    <x v="0"/>
    <n v="300"/>
    <n v="0"/>
    <n v="300"/>
  </r>
  <r>
    <s v="ORD-2026-0076"/>
    <x v="56"/>
    <x v="4"/>
    <x v="11"/>
    <x v="0"/>
    <s v="Green Valley School"/>
    <x v="2"/>
    <x v="2"/>
    <x v="2"/>
    <n v="5"/>
    <n v="180"/>
    <n v="0.15"/>
    <x v="0"/>
    <s v="Q2"/>
    <x v="0"/>
    <n v="900"/>
    <n v="135"/>
    <n v="765"/>
  </r>
  <r>
    <s v="ORD-2026-0077"/>
    <x v="57"/>
    <x v="4"/>
    <x v="10"/>
    <x v="3"/>
    <s v="Apex Manufacturing"/>
    <x v="1"/>
    <x v="1"/>
    <x v="12"/>
    <n v="3"/>
    <n v="3100"/>
    <n v="0"/>
    <x v="3"/>
    <s v="Q2"/>
    <x v="0"/>
    <n v="9300"/>
    <n v="0"/>
    <n v="9300"/>
  </r>
  <r>
    <s v="ORD-2026-0078"/>
    <x v="58"/>
    <x v="5"/>
    <x v="4"/>
    <x v="3"/>
    <s v="XYZ Trading"/>
    <x v="1"/>
    <x v="2"/>
    <x v="11"/>
    <n v="10"/>
    <n v="210"/>
    <n v="0"/>
    <x v="2"/>
    <s v="Q2"/>
    <x v="0"/>
    <n v="2100"/>
    <n v="0"/>
    <n v="2100"/>
  </r>
  <r>
    <s v="ORD-2026-0079"/>
    <x v="59"/>
    <x v="5"/>
    <x v="0"/>
    <x v="0"/>
    <s v="Prime Office Supply"/>
    <x v="1"/>
    <x v="2"/>
    <x v="18"/>
    <n v="8"/>
    <n v="75"/>
    <n v="0"/>
    <x v="2"/>
    <s v="Q2"/>
    <x v="0"/>
    <n v="600"/>
    <n v="0"/>
    <n v="600"/>
  </r>
  <r>
    <s v="ORD-2026-0080"/>
    <x v="60"/>
    <x v="5"/>
    <x v="9"/>
    <x v="2"/>
    <s v="Golden Hardware"/>
    <x v="1"/>
    <x v="1"/>
    <x v="10"/>
    <n v="9"/>
    <n v="6900"/>
    <n v="0"/>
    <x v="3"/>
    <s v="Q2"/>
    <x v="0"/>
    <n v="62100"/>
    <n v="0"/>
    <n v="62100"/>
  </r>
  <r>
    <s v="ORD-2026-0081"/>
    <x v="61"/>
    <x v="5"/>
    <x v="8"/>
    <x v="3"/>
    <s v="Green Valley School"/>
    <x v="2"/>
    <x v="0"/>
    <x v="3"/>
    <n v="10"/>
    <n v="20000"/>
    <n v="0.15"/>
    <x v="2"/>
    <s v="Q2"/>
    <x v="0"/>
    <n v="200000"/>
    <n v="30000"/>
    <n v="170000"/>
  </r>
  <r>
    <s v="ORD-2026-0082"/>
    <x v="62"/>
    <x v="5"/>
    <x v="3"/>
    <x v="3"/>
    <s v="Pacific Foods"/>
    <x v="1"/>
    <x v="1"/>
    <x v="1"/>
    <n v="7"/>
    <n v="7500"/>
    <n v="0"/>
    <x v="0"/>
    <s v="Q2"/>
    <x v="0"/>
    <n v="52500"/>
    <n v="0"/>
    <n v="52500"/>
  </r>
  <r>
    <s v="ORD-2026-0083"/>
    <x v="63"/>
    <x v="5"/>
    <x v="6"/>
    <x v="0"/>
    <s v="XYZ Trading"/>
    <x v="1"/>
    <x v="2"/>
    <x v="8"/>
    <n v="1"/>
    <n v="5000"/>
    <n v="0"/>
    <x v="0"/>
    <s v="Q2"/>
    <x v="0"/>
    <n v="5000"/>
    <n v="0"/>
    <n v="5000"/>
  </r>
  <r>
    <s v="ORD-2026-0084"/>
    <x v="64"/>
    <x v="5"/>
    <x v="11"/>
    <x v="0"/>
    <s v="Central Pharmacy"/>
    <x v="1"/>
    <x v="2"/>
    <x v="18"/>
    <n v="4"/>
    <n v="75"/>
    <n v="0"/>
    <x v="0"/>
    <s v="Q2"/>
    <x v="0"/>
    <n v="300"/>
    <n v="0"/>
    <n v="300"/>
  </r>
  <r>
    <s v="ORD-2026-0085"/>
    <x v="65"/>
    <x v="5"/>
    <x v="5"/>
    <x v="2"/>
    <s v="XYZ Trading"/>
    <x v="1"/>
    <x v="1"/>
    <x v="10"/>
    <n v="8"/>
    <n v="6900"/>
    <n v="0"/>
    <x v="3"/>
    <s v="Q2"/>
    <x v="0"/>
    <n v="55200"/>
    <n v="0"/>
    <n v="55200"/>
  </r>
  <r>
    <s v="ORD-2026-0086"/>
    <x v="66"/>
    <x v="5"/>
    <x v="2"/>
    <x v="2"/>
    <s v="North Star Trading"/>
    <x v="2"/>
    <x v="2"/>
    <x v="13"/>
    <n v="3"/>
    <n v="60"/>
    <n v="0.15"/>
    <x v="0"/>
    <s v="Q2"/>
    <x v="0"/>
    <n v="180"/>
    <n v="27"/>
    <n v="153"/>
  </r>
  <r>
    <s v="ORD-2026-0087"/>
    <x v="67"/>
    <x v="5"/>
    <x v="7"/>
    <x v="1"/>
    <s v="Tech Solutions Inc."/>
    <x v="1"/>
    <x v="0"/>
    <x v="7"/>
    <n v="7"/>
    <n v="9500"/>
    <n v="0"/>
    <x v="0"/>
    <s v="Q2"/>
    <x v="0"/>
    <n v="66500"/>
    <n v="0"/>
    <n v="66500"/>
  </r>
  <r>
    <s v="ORD-2026-0088"/>
    <x v="68"/>
    <x v="5"/>
    <x v="3"/>
    <x v="3"/>
    <s v="XYZ Trading"/>
    <x v="1"/>
    <x v="2"/>
    <x v="11"/>
    <n v="1"/>
    <n v="210"/>
    <n v="0"/>
    <x v="0"/>
    <s v="Q2"/>
    <x v="0"/>
    <n v="210"/>
    <n v="0"/>
    <n v="210"/>
  </r>
  <r>
    <s v="ORD-2026-0089"/>
    <x v="69"/>
    <x v="6"/>
    <x v="10"/>
    <x v="3"/>
    <s v="Prime Office Supply"/>
    <x v="1"/>
    <x v="0"/>
    <x v="0"/>
    <n v="10"/>
    <n v="6000"/>
    <n v="0"/>
    <x v="2"/>
    <s v="Q3"/>
    <x v="0"/>
    <n v="60000"/>
    <n v="0"/>
    <n v="60000"/>
  </r>
  <r>
    <s v="ORD-2026-0090"/>
    <x v="70"/>
    <x v="6"/>
    <x v="8"/>
    <x v="3"/>
    <s v="XYZ Trading"/>
    <x v="1"/>
    <x v="1"/>
    <x v="1"/>
    <n v="9"/>
    <n v="7500"/>
    <n v="0"/>
    <x v="2"/>
    <s v="Q3"/>
    <x v="0"/>
    <n v="67500"/>
    <n v="0"/>
    <n v="67500"/>
  </r>
  <r>
    <s v="ORD-2026-0091"/>
    <x v="71"/>
    <x v="6"/>
    <x v="9"/>
    <x v="2"/>
    <s v="Golden Hardware"/>
    <x v="1"/>
    <x v="2"/>
    <x v="18"/>
    <n v="7"/>
    <n v="75"/>
    <n v="0"/>
    <x v="1"/>
    <s v="Q3"/>
    <x v="0"/>
    <n v="525"/>
    <n v="0"/>
    <n v="525"/>
  </r>
  <r>
    <s v="ORD-2026-0092"/>
    <x v="72"/>
    <x v="6"/>
    <x v="1"/>
    <x v="1"/>
    <s v="City Government"/>
    <x v="2"/>
    <x v="2"/>
    <x v="13"/>
    <n v="7"/>
    <n v="60"/>
    <n v="0.15"/>
    <x v="1"/>
    <s v="Q3"/>
    <x v="0"/>
    <n v="420"/>
    <n v="63"/>
    <n v="357"/>
  </r>
  <r>
    <s v="ORD-2026-0093"/>
    <x v="73"/>
    <x v="6"/>
    <x v="6"/>
    <x v="0"/>
    <s v="Summit Engineering"/>
    <x v="0"/>
    <x v="2"/>
    <x v="17"/>
    <n v="2"/>
    <n v="32"/>
    <n v="0.1"/>
    <x v="1"/>
    <s v="Q3"/>
    <x v="0"/>
    <n v="64"/>
    <n v="6.4"/>
    <n v="57.6"/>
  </r>
  <r>
    <s v="ORD-2026-0094"/>
    <x v="73"/>
    <x v="6"/>
    <x v="5"/>
    <x v="2"/>
    <s v="XYZ Trading"/>
    <x v="1"/>
    <x v="0"/>
    <x v="15"/>
    <n v="8"/>
    <n v="850"/>
    <n v="0"/>
    <x v="0"/>
    <s v="Q3"/>
    <x v="0"/>
    <n v="6800"/>
    <n v="0"/>
    <n v="6800"/>
  </r>
  <r>
    <s v="ORD-2026-0095"/>
    <x v="74"/>
    <x v="6"/>
    <x v="4"/>
    <x v="3"/>
    <s v="Apex Manufacturing"/>
    <x v="1"/>
    <x v="1"/>
    <x v="1"/>
    <n v="8"/>
    <n v="7500"/>
    <n v="0"/>
    <x v="0"/>
    <s v="Q3"/>
    <x v="0"/>
    <n v="60000"/>
    <n v="0"/>
    <n v="60000"/>
  </r>
  <r>
    <s v="ORD-2026-0096"/>
    <x v="75"/>
    <x v="6"/>
    <x v="11"/>
    <x v="0"/>
    <s v="Global Logistics"/>
    <x v="1"/>
    <x v="2"/>
    <x v="11"/>
    <n v="6"/>
    <n v="210"/>
    <n v="0"/>
    <x v="0"/>
    <s v="Q3"/>
    <x v="0"/>
    <n v="1260"/>
    <n v="0"/>
    <n v="1260"/>
  </r>
  <r>
    <s v="ORD-2026-0097"/>
    <x v="76"/>
    <x v="6"/>
    <x v="10"/>
    <x v="3"/>
    <s v="Green Valley School"/>
    <x v="2"/>
    <x v="1"/>
    <x v="1"/>
    <n v="7"/>
    <n v="7500"/>
    <n v="0.15"/>
    <x v="1"/>
    <s v="Q3"/>
    <x v="0"/>
    <n v="52500"/>
    <n v="7875"/>
    <n v="44625"/>
  </r>
  <r>
    <s v="ORD-2026-0098"/>
    <x v="76"/>
    <x v="6"/>
    <x v="6"/>
    <x v="0"/>
    <s v="Central Pharmacy"/>
    <x v="1"/>
    <x v="1"/>
    <x v="1"/>
    <n v="6"/>
    <n v="7500"/>
    <n v="0"/>
    <x v="3"/>
    <s v="Q3"/>
    <x v="0"/>
    <n v="45000"/>
    <n v="0"/>
    <n v="45000"/>
  </r>
  <r>
    <s v="ORD-2026-0099"/>
    <x v="76"/>
    <x v="6"/>
    <x v="7"/>
    <x v="1"/>
    <s v="XYZ Trading"/>
    <x v="1"/>
    <x v="0"/>
    <x v="3"/>
    <n v="4"/>
    <n v="20000"/>
    <n v="0"/>
    <x v="3"/>
    <s v="Q3"/>
    <x v="0"/>
    <n v="80000"/>
    <n v="0"/>
    <n v="80000"/>
  </r>
  <r>
    <s v="ORD-2026-0100"/>
    <x v="77"/>
    <x v="6"/>
    <x v="3"/>
    <x v="3"/>
    <s v="Prime Office Supply"/>
    <x v="1"/>
    <x v="2"/>
    <x v="8"/>
    <n v="6"/>
    <n v="5000"/>
    <n v="0"/>
    <x v="2"/>
    <s v="Q3"/>
    <x v="0"/>
    <n v="30000"/>
    <n v="0"/>
    <n v="30000"/>
  </r>
  <r>
    <s v="ORD-2026-0101"/>
    <x v="78"/>
    <x v="6"/>
    <x v="2"/>
    <x v="2"/>
    <s v="Tech Solutions Inc."/>
    <x v="1"/>
    <x v="1"/>
    <x v="12"/>
    <n v="2"/>
    <n v="3100"/>
    <n v="0"/>
    <x v="0"/>
    <s v="Q3"/>
    <x v="0"/>
    <n v="6200"/>
    <n v="0"/>
    <n v="6200"/>
  </r>
  <r>
    <s v="ORD-2026-0102"/>
    <x v="78"/>
    <x v="6"/>
    <x v="5"/>
    <x v="2"/>
    <s v="Golden Hardware"/>
    <x v="1"/>
    <x v="2"/>
    <x v="4"/>
    <n v="2"/>
    <n v="190"/>
    <n v="0"/>
    <x v="2"/>
    <s v="Q3"/>
    <x v="0"/>
    <n v="380"/>
    <n v="0"/>
    <n v="380"/>
  </r>
  <r>
    <s v="ORD-2026-0103"/>
    <x v="78"/>
    <x v="6"/>
    <x v="0"/>
    <x v="0"/>
    <s v="XYZ Trading"/>
    <x v="1"/>
    <x v="2"/>
    <x v="2"/>
    <n v="2"/>
    <n v="180"/>
    <n v="0"/>
    <x v="2"/>
    <s v="Q3"/>
    <x v="0"/>
    <n v="360"/>
    <n v="0"/>
    <n v="360"/>
  </r>
  <r>
    <s v="ORD-2026-0104"/>
    <x v="79"/>
    <x v="6"/>
    <x v="9"/>
    <x v="2"/>
    <s v="Prime Office Supply"/>
    <x v="1"/>
    <x v="2"/>
    <x v="11"/>
    <n v="10"/>
    <n v="210"/>
    <n v="0"/>
    <x v="3"/>
    <s v="Q3"/>
    <x v="0"/>
    <n v="2100"/>
    <n v="0"/>
    <n v="2100"/>
  </r>
  <r>
    <s v="ORD-2026-0105"/>
    <x v="80"/>
    <x v="6"/>
    <x v="6"/>
    <x v="0"/>
    <s v="Green Valley School"/>
    <x v="2"/>
    <x v="2"/>
    <x v="11"/>
    <n v="9"/>
    <n v="210"/>
    <n v="0.15"/>
    <x v="3"/>
    <s v="Q3"/>
    <x v="0"/>
    <n v="1890"/>
    <n v="283.5"/>
    <n v="1606.5"/>
  </r>
  <r>
    <s v="ORD-2026-0106"/>
    <x v="80"/>
    <x v="6"/>
    <x v="8"/>
    <x v="3"/>
    <s v="City Government"/>
    <x v="2"/>
    <x v="1"/>
    <x v="6"/>
    <n v="1"/>
    <n v="5200"/>
    <n v="0.15"/>
    <x v="0"/>
    <s v="Q3"/>
    <x v="0"/>
    <n v="5200"/>
    <n v="780"/>
    <n v="4420"/>
  </r>
  <r>
    <s v="ORD-2026-0107"/>
    <x v="81"/>
    <x v="6"/>
    <x v="8"/>
    <x v="3"/>
    <s v="Pacific Foods"/>
    <x v="1"/>
    <x v="1"/>
    <x v="5"/>
    <n v="7"/>
    <n v="4200"/>
    <n v="0"/>
    <x v="0"/>
    <s v="Q3"/>
    <x v="0"/>
    <n v="29400"/>
    <n v="0"/>
    <n v="29400"/>
  </r>
  <r>
    <s v="ORD-2026-0108"/>
    <x v="82"/>
    <x v="6"/>
    <x v="10"/>
    <x v="3"/>
    <s v="Sunrise Retail"/>
    <x v="1"/>
    <x v="1"/>
    <x v="6"/>
    <n v="8"/>
    <n v="5200"/>
    <n v="0"/>
    <x v="3"/>
    <s v="Q3"/>
    <x v="0"/>
    <n v="41600"/>
    <n v="0"/>
    <n v="41600"/>
  </r>
  <r>
    <s v="ORD-2026-0109"/>
    <x v="83"/>
    <x v="6"/>
    <x v="4"/>
    <x v="3"/>
    <s v="North Star Trading"/>
    <x v="2"/>
    <x v="2"/>
    <x v="13"/>
    <n v="10"/>
    <n v="60"/>
    <n v="0.15"/>
    <x v="1"/>
    <s v="Q3"/>
    <x v="0"/>
    <n v="600"/>
    <n v="90"/>
    <n v="510"/>
  </r>
  <r>
    <s v="ORD-2026-0110"/>
    <x v="83"/>
    <x v="6"/>
    <x v="11"/>
    <x v="0"/>
    <s v="Prime Office Supply"/>
    <x v="1"/>
    <x v="0"/>
    <x v="0"/>
    <n v="5"/>
    <n v="6000"/>
    <n v="0"/>
    <x v="2"/>
    <s v="Q3"/>
    <x v="0"/>
    <n v="30000"/>
    <n v="0"/>
    <n v="30000"/>
  </r>
  <r>
    <s v="ORD-2026-0111"/>
    <x v="83"/>
    <x v="6"/>
    <x v="3"/>
    <x v="3"/>
    <s v="Evergreen Supermarket"/>
    <x v="1"/>
    <x v="0"/>
    <x v="0"/>
    <n v="2"/>
    <n v="6000"/>
    <n v="0"/>
    <x v="2"/>
    <s v="Q3"/>
    <x v="0"/>
    <n v="12000"/>
    <n v="0"/>
    <n v="12000"/>
  </r>
  <r>
    <s v="ORD-2026-0112"/>
    <x v="84"/>
    <x v="7"/>
    <x v="6"/>
    <x v="0"/>
    <s v="Central Pharmacy"/>
    <x v="1"/>
    <x v="2"/>
    <x v="2"/>
    <n v="5"/>
    <n v="180"/>
    <n v="0"/>
    <x v="1"/>
    <s v="Q3"/>
    <x v="0"/>
    <n v="900"/>
    <n v="0"/>
    <n v="900"/>
  </r>
  <r>
    <s v="ORD-2026-0113"/>
    <x v="85"/>
    <x v="7"/>
    <x v="1"/>
    <x v="1"/>
    <s v="Prime Office Supply"/>
    <x v="1"/>
    <x v="2"/>
    <x v="16"/>
    <n v="10"/>
    <n v="120"/>
    <n v="0"/>
    <x v="3"/>
    <s v="Q3"/>
    <x v="0"/>
    <n v="1200"/>
    <n v="0"/>
    <n v="1200"/>
  </r>
  <r>
    <s v="ORD-2026-0114"/>
    <x v="86"/>
    <x v="7"/>
    <x v="9"/>
    <x v="2"/>
    <s v="XYZ Trading"/>
    <x v="1"/>
    <x v="0"/>
    <x v="0"/>
    <n v="2"/>
    <n v="6000"/>
    <n v="0"/>
    <x v="0"/>
    <s v="Q3"/>
    <x v="0"/>
    <n v="12000"/>
    <n v="0"/>
    <n v="12000"/>
  </r>
  <r>
    <s v="ORD-2026-0115"/>
    <x v="87"/>
    <x v="7"/>
    <x v="2"/>
    <x v="2"/>
    <s v="Sunrise Retail"/>
    <x v="1"/>
    <x v="0"/>
    <x v="9"/>
    <n v="3"/>
    <n v="720"/>
    <n v="0"/>
    <x v="2"/>
    <s v="Q3"/>
    <x v="0"/>
    <n v="2160"/>
    <n v="0"/>
    <n v="2160"/>
  </r>
  <r>
    <s v="ORD-2026-0116"/>
    <x v="88"/>
    <x v="7"/>
    <x v="7"/>
    <x v="1"/>
    <s v="City Government"/>
    <x v="2"/>
    <x v="0"/>
    <x v="9"/>
    <n v="6"/>
    <n v="720"/>
    <n v="0.15"/>
    <x v="0"/>
    <s v="Q3"/>
    <x v="0"/>
    <n v="4320"/>
    <n v="648"/>
    <n v="3672"/>
  </r>
  <r>
    <s v="ORD-2026-0117"/>
    <x v="88"/>
    <x v="7"/>
    <x v="5"/>
    <x v="2"/>
    <s v="Prime Office Supply"/>
    <x v="1"/>
    <x v="2"/>
    <x v="13"/>
    <n v="8"/>
    <n v="60"/>
    <n v="0"/>
    <x v="2"/>
    <s v="Q3"/>
    <x v="0"/>
    <n v="480"/>
    <n v="0"/>
    <n v="480"/>
  </r>
  <r>
    <s v="ORD-2026-0118"/>
    <x v="89"/>
    <x v="7"/>
    <x v="10"/>
    <x v="3"/>
    <s v="XYZ Trading"/>
    <x v="1"/>
    <x v="0"/>
    <x v="3"/>
    <n v="2"/>
    <n v="20000"/>
    <n v="0"/>
    <x v="1"/>
    <s v="Q3"/>
    <x v="0"/>
    <n v="40000"/>
    <n v="0"/>
    <n v="40000"/>
  </r>
  <r>
    <s v="ORD-2026-0119"/>
    <x v="90"/>
    <x v="7"/>
    <x v="7"/>
    <x v="1"/>
    <s v="Apex Manufacturing"/>
    <x v="1"/>
    <x v="2"/>
    <x v="17"/>
    <n v="2"/>
    <n v="32"/>
    <n v="0"/>
    <x v="2"/>
    <s v="Q3"/>
    <x v="0"/>
    <n v="64"/>
    <n v="0"/>
    <n v="64"/>
  </r>
  <r>
    <s v="ORD-2026-0120"/>
    <x v="90"/>
    <x v="7"/>
    <x v="8"/>
    <x v="3"/>
    <s v="Crystal Mart"/>
    <x v="1"/>
    <x v="0"/>
    <x v="0"/>
    <n v="7"/>
    <n v="6000"/>
    <n v="0"/>
    <x v="1"/>
    <s v="Q3"/>
    <x v="0"/>
    <n v="42000"/>
    <n v="0"/>
    <n v="42000"/>
  </r>
  <r>
    <s v="ORD-2026-0121"/>
    <x v="91"/>
    <x v="7"/>
    <x v="11"/>
    <x v="0"/>
    <s v="Golden Hardware"/>
    <x v="1"/>
    <x v="1"/>
    <x v="12"/>
    <n v="9"/>
    <n v="3100"/>
    <n v="0"/>
    <x v="3"/>
    <s v="Q3"/>
    <x v="0"/>
    <n v="27900"/>
    <n v="0"/>
    <n v="27900"/>
  </r>
  <r>
    <s v="ORD-2026-0122"/>
    <x v="91"/>
    <x v="7"/>
    <x v="0"/>
    <x v="0"/>
    <s v="XYZ Trading"/>
    <x v="1"/>
    <x v="0"/>
    <x v="9"/>
    <n v="1"/>
    <n v="720"/>
    <n v="0"/>
    <x v="0"/>
    <s v="Q3"/>
    <x v="0"/>
    <n v="720"/>
    <n v="0"/>
    <n v="720"/>
  </r>
  <r>
    <s v="ORD-2026-0123"/>
    <x v="92"/>
    <x v="7"/>
    <x v="4"/>
    <x v="3"/>
    <s v="Orion Industries"/>
    <x v="1"/>
    <x v="0"/>
    <x v="0"/>
    <n v="8"/>
    <n v="6000"/>
    <n v="0"/>
    <x v="0"/>
    <s v="Q3"/>
    <x v="0"/>
    <n v="48000"/>
    <n v="0"/>
    <n v="48000"/>
  </r>
  <r>
    <s v="ORD-2026-0124"/>
    <x v="93"/>
    <x v="7"/>
    <x v="7"/>
    <x v="1"/>
    <s v="City Government"/>
    <x v="2"/>
    <x v="1"/>
    <x v="5"/>
    <n v="10"/>
    <n v="4200"/>
    <n v="0.15"/>
    <x v="0"/>
    <s v="Q3"/>
    <x v="0"/>
    <n v="42000"/>
    <n v="6300"/>
    <n v="35700"/>
  </r>
  <r>
    <s v="ORD-2026-0125"/>
    <x v="94"/>
    <x v="7"/>
    <x v="8"/>
    <x v="3"/>
    <s v="Green Valley School"/>
    <x v="2"/>
    <x v="1"/>
    <x v="10"/>
    <n v="2"/>
    <n v="6900"/>
    <n v="0.15"/>
    <x v="0"/>
    <s v="Q3"/>
    <x v="0"/>
    <n v="13800"/>
    <n v="2070"/>
    <n v="11730"/>
  </r>
  <r>
    <s v="ORD-2026-0126"/>
    <x v="94"/>
    <x v="7"/>
    <x v="9"/>
    <x v="2"/>
    <s v="Global Logistics"/>
    <x v="1"/>
    <x v="1"/>
    <x v="10"/>
    <n v="10"/>
    <n v="6900"/>
    <n v="0"/>
    <x v="3"/>
    <s v="Q3"/>
    <x v="0"/>
    <n v="69000"/>
    <n v="0"/>
    <n v="69000"/>
  </r>
  <r>
    <s v="ORD-2026-0127"/>
    <x v="95"/>
    <x v="7"/>
    <x v="8"/>
    <x v="3"/>
    <s v="Tech Solutions Inc."/>
    <x v="1"/>
    <x v="2"/>
    <x v="8"/>
    <n v="7"/>
    <n v="5000"/>
    <n v="0"/>
    <x v="0"/>
    <s v="Q3"/>
    <x v="0"/>
    <n v="35000"/>
    <n v="0"/>
    <n v="35000"/>
  </r>
  <r>
    <s v="ORD-2026-0128"/>
    <x v="96"/>
    <x v="8"/>
    <x v="8"/>
    <x v="3"/>
    <s v="XYZ Trading"/>
    <x v="1"/>
    <x v="2"/>
    <x v="2"/>
    <n v="2"/>
    <n v="180"/>
    <n v="0"/>
    <x v="2"/>
    <s v="Q3"/>
    <x v="0"/>
    <n v="360"/>
    <n v="0"/>
    <n v="360"/>
  </r>
  <r>
    <s v="ORD-2026-0129"/>
    <x v="96"/>
    <x v="8"/>
    <x v="1"/>
    <x v="1"/>
    <s v="Pacific Foods"/>
    <x v="1"/>
    <x v="2"/>
    <x v="2"/>
    <n v="7"/>
    <n v="180"/>
    <n v="0"/>
    <x v="0"/>
    <s v="Q3"/>
    <x v="0"/>
    <n v="1260"/>
    <n v="0"/>
    <n v="1260"/>
  </r>
  <r>
    <s v="ORD-2026-0130"/>
    <x v="97"/>
    <x v="8"/>
    <x v="10"/>
    <x v="3"/>
    <s v="Golden Hardware"/>
    <x v="1"/>
    <x v="0"/>
    <x v="7"/>
    <n v="4"/>
    <n v="9500"/>
    <n v="0"/>
    <x v="3"/>
    <s v="Q3"/>
    <x v="0"/>
    <n v="38000"/>
    <n v="0"/>
    <n v="38000"/>
  </r>
  <r>
    <s v="ORD-2026-0131"/>
    <x v="98"/>
    <x v="8"/>
    <x v="5"/>
    <x v="2"/>
    <s v="Tech Solutions Inc."/>
    <x v="1"/>
    <x v="0"/>
    <x v="0"/>
    <n v="1"/>
    <n v="6000"/>
    <n v="0"/>
    <x v="1"/>
    <s v="Q3"/>
    <x v="0"/>
    <n v="6000"/>
    <n v="0"/>
    <n v="6000"/>
  </r>
  <r>
    <s v="ORD-2026-0132"/>
    <x v="98"/>
    <x v="8"/>
    <x v="3"/>
    <x v="3"/>
    <s v="Prime Office Supply"/>
    <x v="1"/>
    <x v="0"/>
    <x v="3"/>
    <n v="3"/>
    <n v="20000"/>
    <n v="0"/>
    <x v="1"/>
    <s v="Q3"/>
    <x v="0"/>
    <n v="60000"/>
    <n v="0"/>
    <n v="60000"/>
  </r>
  <r>
    <s v="ORD-2026-0133"/>
    <x v="99"/>
    <x v="8"/>
    <x v="6"/>
    <x v="0"/>
    <s v="North Star Trading"/>
    <x v="2"/>
    <x v="1"/>
    <x v="5"/>
    <n v="7"/>
    <n v="4200"/>
    <n v="0.15"/>
    <x v="2"/>
    <s v="Q3"/>
    <x v="0"/>
    <n v="29400"/>
    <n v="4410"/>
    <n v="24990"/>
  </r>
  <r>
    <s v="ORD-2026-0134"/>
    <x v="100"/>
    <x v="8"/>
    <x v="2"/>
    <x v="2"/>
    <s v="XYZ Trading"/>
    <x v="1"/>
    <x v="0"/>
    <x v="7"/>
    <n v="1"/>
    <n v="9500"/>
    <n v="0"/>
    <x v="3"/>
    <s v="Q3"/>
    <x v="0"/>
    <n v="9500"/>
    <n v="0"/>
    <n v="9500"/>
  </r>
  <r>
    <s v="ORD-2026-0135"/>
    <x v="101"/>
    <x v="8"/>
    <x v="0"/>
    <x v="0"/>
    <s v="Silverline Stores"/>
    <x v="1"/>
    <x v="2"/>
    <x v="8"/>
    <n v="7"/>
    <n v="5000"/>
    <n v="0"/>
    <x v="1"/>
    <s v="Q3"/>
    <x v="0"/>
    <n v="35000"/>
    <n v="0"/>
    <n v="35000"/>
  </r>
  <r>
    <s v="ORD-2026-0136"/>
    <x v="102"/>
    <x v="8"/>
    <x v="11"/>
    <x v="0"/>
    <s v="Prime Office Supply"/>
    <x v="1"/>
    <x v="1"/>
    <x v="12"/>
    <n v="9"/>
    <n v="3100"/>
    <n v="0"/>
    <x v="0"/>
    <s v="Q3"/>
    <x v="0"/>
    <n v="27900"/>
    <n v="0"/>
    <n v="27900"/>
  </r>
  <r>
    <s v="ORD-2026-0137"/>
    <x v="103"/>
    <x v="8"/>
    <x v="7"/>
    <x v="1"/>
    <s v="Evergreen Supermarket"/>
    <x v="1"/>
    <x v="2"/>
    <x v="14"/>
    <n v="9"/>
    <n v="90"/>
    <n v="0"/>
    <x v="0"/>
    <s v="Q3"/>
    <x v="0"/>
    <n v="810"/>
    <n v="0"/>
    <n v="810"/>
  </r>
  <r>
    <s v="ORD-2026-0138"/>
    <x v="104"/>
    <x v="8"/>
    <x v="9"/>
    <x v="2"/>
    <s v="City Government"/>
    <x v="2"/>
    <x v="2"/>
    <x v="2"/>
    <n v="8"/>
    <n v="180"/>
    <n v="0.15"/>
    <x v="1"/>
    <s v="Q3"/>
    <x v="0"/>
    <n v="1440"/>
    <n v="216"/>
    <n v="1224"/>
  </r>
  <r>
    <s v="ORD-2026-0139"/>
    <x v="105"/>
    <x v="8"/>
    <x v="8"/>
    <x v="3"/>
    <s v="Blue Ocean Trading"/>
    <x v="1"/>
    <x v="0"/>
    <x v="7"/>
    <n v="1"/>
    <n v="9500"/>
    <n v="0"/>
    <x v="1"/>
    <s v="Q3"/>
    <x v="0"/>
    <n v="9500"/>
    <n v="0"/>
    <n v="9500"/>
  </r>
  <r>
    <s v="ORD-2026-0140"/>
    <x v="105"/>
    <x v="8"/>
    <x v="8"/>
    <x v="3"/>
    <s v="Central Pharmacy"/>
    <x v="1"/>
    <x v="2"/>
    <x v="18"/>
    <n v="2"/>
    <n v="75"/>
    <n v="0"/>
    <x v="2"/>
    <s v="Q3"/>
    <x v="0"/>
    <n v="150"/>
    <n v="0"/>
    <n v="150"/>
  </r>
  <r>
    <s v="ORD-2026-0141"/>
    <x v="106"/>
    <x v="8"/>
    <x v="4"/>
    <x v="3"/>
    <s v="City Government"/>
    <x v="2"/>
    <x v="2"/>
    <x v="13"/>
    <n v="5"/>
    <n v="60"/>
    <n v="0.15"/>
    <x v="0"/>
    <s v="Q3"/>
    <x v="0"/>
    <n v="300"/>
    <n v="45"/>
    <n v="255"/>
  </r>
  <r>
    <s v="ORD-2026-0142"/>
    <x v="107"/>
    <x v="8"/>
    <x v="7"/>
    <x v="1"/>
    <s v="Apex Manufacturing"/>
    <x v="1"/>
    <x v="0"/>
    <x v="15"/>
    <n v="5"/>
    <n v="850"/>
    <n v="0"/>
    <x v="1"/>
    <s v="Q3"/>
    <x v="0"/>
    <n v="4250"/>
    <n v="0"/>
    <n v="4250"/>
  </r>
  <r>
    <s v="ORD-2026-0143"/>
    <x v="107"/>
    <x v="8"/>
    <x v="8"/>
    <x v="3"/>
    <s v="Golden Hardware"/>
    <x v="1"/>
    <x v="0"/>
    <x v="9"/>
    <n v="6"/>
    <n v="720"/>
    <n v="0"/>
    <x v="2"/>
    <s v="Q3"/>
    <x v="0"/>
    <n v="4320"/>
    <n v="0"/>
    <n v="4320"/>
  </r>
  <r>
    <s v="ORD-2026-0144"/>
    <x v="108"/>
    <x v="8"/>
    <x v="10"/>
    <x v="3"/>
    <s v="North Star Trading"/>
    <x v="2"/>
    <x v="2"/>
    <x v="8"/>
    <n v="2"/>
    <n v="5000"/>
    <n v="0.15"/>
    <x v="2"/>
    <s v="Q3"/>
    <x v="0"/>
    <n v="10000"/>
    <n v="1500"/>
    <n v="8500"/>
  </r>
  <r>
    <s v="ORD-2026-0145"/>
    <x v="109"/>
    <x v="8"/>
    <x v="2"/>
    <x v="2"/>
    <s v="City Government"/>
    <x v="2"/>
    <x v="2"/>
    <x v="17"/>
    <n v="10"/>
    <n v="32"/>
    <n v="0.15"/>
    <x v="1"/>
    <s v="Q3"/>
    <x v="0"/>
    <n v="320"/>
    <n v="48"/>
    <n v="272"/>
  </r>
  <r>
    <s v="ORD-2026-0146"/>
    <x v="110"/>
    <x v="9"/>
    <x v="8"/>
    <x v="3"/>
    <s v="Prime Office Supply"/>
    <x v="1"/>
    <x v="0"/>
    <x v="15"/>
    <n v="9"/>
    <n v="850"/>
    <n v="0"/>
    <x v="3"/>
    <s v="Q4"/>
    <x v="0"/>
    <n v="7650"/>
    <n v="0"/>
    <n v="7650"/>
  </r>
  <r>
    <s v="ORD-2026-0147"/>
    <x v="111"/>
    <x v="9"/>
    <x v="0"/>
    <x v="0"/>
    <s v="XYZ Trading"/>
    <x v="1"/>
    <x v="1"/>
    <x v="1"/>
    <n v="3"/>
    <n v="7500"/>
    <n v="0"/>
    <x v="1"/>
    <s v="Q4"/>
    <x v="0"/>
    <n v="22500"/>
    <n v="0"/>
    <n v="22500"/>
  </r>
  <r>
    <s v="ORD-2026-0148"/>
    <x v="112"/>
    <x v="9"/>
    <x v="6"/>
    <x v="0"/>
    <s v="Prime Office Supply"/>
    <x v="1"/>
    <x v="2"/>
    <x v="8"/>
    <n v="9"/>
    <n v="5000"/>
    <n v="0"/>
    <x v="3"/>
    <s v="Q4"/>
    <x v="0"/>
    <n v="45000"/>
    <n v="0"/>
    <n v="45000"/>
  </r>
  <r>
    <s v="ORD-2026-0149"/>
    <x v="113"/>
    <x v="9"/>
    <x v="5"/>
    <x v="2"/>
    <s v="Central Pharmacy"/>
    <x v="1"/>
    <x v="0"/>
    <x v="9"/>
    <n v="3"/>
    <n v="720"/>
    <n v="0"/>
    <x v="1"/>
    <s v="Q4"/>
    <x v="0"/>
    <n v="2160"/>
    <n v="0"/>
    <n v="2160"/>
  </r>
  <r>
    <s v="ORD-2026-0150"/>
    <x v="114"/>
    <x v="9"/>
    <x v="11"/>
    <x v="0"/>
    <s v="XYZ Trading"/>
    <x v="1"/>
    <x v="2"/>
    <x v="2"/>
    <n v="7"/>
    <n v="180"/>
    <n v="0"/>
    <x v="2"/>
    <s v="Q4"/>
    <x v="0"/>
    <n v="1260"/>
    <n v="0"/>
    <n v="1260"/>
  </r>
  <r>
    <s v="ORD-2026-0151"/>
    <x v="115"/>
    <x v="9"/>
    <x v="1"/>
    <x v="1"/>
    <s v="Green Valley School"/>
    <x v="2"/>
    <x v="0"/>
    <x v="9"/>
    <n v="6"/>
    <n v="720"/>
    <n v="0.15"/>
    <x v="3"/>
    <s v="Q4"/>
    <x v="0"/>
    <n v="4320"/>
    <n v="648"/>
    <n v="3672"/>
  </r>
  <r>
    <s v="ORD-2026-0152"/>
    <x v="116"/>
    <x v="9"/>
    <x v="7"/>
    <x v="1"/>
    <s v="Tech Solutions Inc."/>
    <x v="1"/>
    <x v="2"/>
    <x v="4"/>
    <n v="3"/>
    <n v="190"/>
    <n v="0"/>
    <x v="1"/>
    <s v="Q4"/>
    <x v="0"/>
    <n v="570"/>
    <n v="0"/>
    <n v="570"/>
  </r>
  <r>
    <s v="ORD-2026-0153"/>
    <x v="117"/>
    <x v="9"/>
    <x v="9"/>
    <x v="2"/>
    <s v="Prime Office Supply"/>
    <x v="1"/>
    <x v="2"/>
    <x v="4"/>
    <n v="3"/>
    <n v="190"/>
    <n v="0"/>
    <x v="2"/>
    <s v="Q4"/>
    <x v="0"/>
    <n v="570"/>
    <n v="0"/>
    <n v="570"/>
  </r>
  <r>
    <s v="ORD-2026-0154"/>
    <x v="118"/>
    <x v="9"/>
    <x v="8"/>
    <x v="3"/>
    <s v="Green Valley School"/>
    <x v="2"/>
    <x v="2"/>
    <x v="14"/>
    <n v="7"/>
    <n v="90"/>
    <n v="0.15"/>
    <x v="1"/>
    <s v="Q4"/>
    <x v="0"/>
    <n v="630"/>
    <n v="94.5"/>
    <n v="535.5"/>
  </r>
  <r>
    <s v="ORD-2026-0155"/>
    <x v="119"/>
    <x v="9"/>
    <x v="3"/>
    <x v="3"/>
    <s v="Evergreen Supermarket"/>
    <x v="1"/>
    <x v="0"/>
    <x v="0"/>
    <n v="10"/>
    <n v="6000"/>
    <n v="0"/>
    <x v="0"/>
    <s v="Q4"/>
    <x v="0"/>
    <n v="60000"/>
    <n v="0"/>
    <n v="60000"/>
  </r>
  <r>
    <s v="ORD-2026-0156"/>
    <x v="120"/>
    <x v="9"/>
    <x v="5"/>
    <x v="2"/>
    <s v="City Government"/>
    <x v="2"/>
    <x v="2"/>
    <x v="11"/>
    <n v="10"/>
    <n v="210"/>
    <n v="0.15"/>
    <x v="0"/>
    <s v="Q4"/>
    <x v="0"/>
    <n v="2100"/>
    <n v="315"/>
    <n v="1785"/>
  </r>
  <r>
    <s v="ORD-2026-0157"/>
    <x v="121"/>
    <x v="9"/>
    <x v="10"/>
    <x v="3"/>
    <s v="Prime Office Supply"/>
    <x v="1"/>
    <x v="2"/>
    <x v="4"/>
    <n v="8"/>
    <n v="190"/>
    <n v="0"/>
    <x v="1"/>
    <s v="Q4"/>
    <x v="0"/>
    <n v="1520"/>
    <n v="0"/>
    <n v="1520"/>
  </r>
  <r>
    <s v="ORD-2026-0158"/>
    <x v="122"/>
    <x v="9"/>
    <x v="2"/>
    <x v="2"/>
    <s v="XYZ Trading"/>
    <x v="1"/>
    <x v="0"/>
    <x v="0"/>
    <n v="10"/>
    <n v="6000"/>
    <n v="0"/>
    <x v="2"/>
    <s v="Q4"/>
    <x v="0"/>
    <n v="60000"/>
    <n v="0"/>
    <n v="60000"/>
  </r>
  <r>
    <s v="ORD-2026-0159"/>
    <x v="123"/>
    <x v="9"/>
    <x v="0"/>
    <x v="0"/>
    <s v="Bright Future Academy"/>
    <x v="1"/>
    <x v="2"/>
    <x v="17"/>
    <n v="2"/>
    <n v="32"/>
    <n v="0"/>
    <x v="2"/>
    <s v="Q4"/>
    <x v="0"/>
    <n v="64"/>
    <n v="0"/>
    <n v="64"/>
  </r>
  <r>
    <s v="ORD-2026-0160"/>
    <x v="124"/>
    <x v="9"/>
    <x v="4"/>
    <x v="3"/>
    <s v="XYZ Trading"/>
    <x v="1"/>
    <x v="1"/>
    <x v="12"/>
    <n v="1"/>
    <n v="3100"/>
    <n v="0"/>
    <x v="0"/>
    <s v="Q4"/>
    <x v="0"/>
    <n v="3100"/>
    <n v="0"/>
    <n v="3100"/>
  </r>
  <r>
    <s v="ORD-2026-0161"/>
    <x v="125"/>
    <x v="9"/>
    <x v="6"/>
    <x v="0"/>
    <s v="Pacific Foods"/>
    <x v="1"/>
    <x v="2"/>
    <x v="13"/>
    <n v="1"/>
    <n v="60"/>
    <n v="0"/>
    <x v="3"/>
    <s v="Q4"/>
    <x v="0"/>
    <n v="60"/>
    <n v="0"/>
    <n v="60"/>
  </r>
  <r>
    <s v="ORD-2026-0162"/>
    <x v="126"/>
    <x v="9"/>
    <x v="11"/>
    <x v="0"/>
    <s v="North Star Trading"/>
    <x v="2"/>
    <x v="2"/>
    <x v="16"/>
    <n v="8"/>
    <n v="120"/>
    <n v="0.15"/>
    <x v="1"/>
    <s v="Q4"/>
    <x v="0"/>
    <n v="960"/>
    <n v="144"/>
    <n v="816"/>
  </r>
  <r>
    <s v="ORD-2026-0163"/>
    <x v="127"/>
    <x v="9"/>
    <x v="8"/>
    <x v="3"/>
    <s v="City Government"/>
    <x v="2"/>
    <x v="1"/>
    <x v="10"/>
    <n v="9"/>
    <n v="6900"/>
    <n v="0.15"/>
    <x v="0"/>
    <s v="Q4"/>
    <x v="0"/>
    <n v="62100"/>
    <n v="9315"/>
    <n v="52785"/>
  </r>
  <r>
    <s v="ORD-2026-0164"/>
    <x v="128"/>
    <x v="9"/>
    <x v="8"/>
    <x v="3"/>
    <s v="Prime Office Supply"/>
    <x v="1"/>
    <x v="2"/>
    <x v="11"/>
    <n v="4"/>
    <n v="210"/>
    <n v="0"/>
    <x v="2"/>
    <s v="Q4"/>
    <x v="0"/>
    <n v="840"/>
    <n v="0"/>
    <n v="840"/>
  </r>
  <r>
    <s v="ORD-2026-0165"/>
    <x v="129"/>
    <x v="9"/>
    <x v="1"/>
    <x v="1"/>
    <s v="City Government"/>
    <x v="2"/>
    <x v="1"/>
    <x v="12"/>
    <n v="5"/>
    <n v="3100"/>
    <n v="0.15"/>
    <x v="1"/>
    <s v="Q4"/>
    <x v="0"/>
    <n v="15500"/>
    <n v="2325"/>
    <n v="13175"/>
  </r>
  <r>
    <s v="ORD-2026-0166"/>
    <x v="130"/>
    <x v="9"/>
    <x v="7"/>
    <x v="1"/>
    <s v="XYZ Trading"/>
    <x v="1"/>
    <x v="1"/>
    <x v="1"/>
    <n v="3"/>
    <n v="7500"/>
    <n v="0"/>
    <x v="2"/>
    <s v="Q4"/>
    <x v="0"/>
    <n v="22500"/>
    <n v="0"/>
    <n v="22500"/>
  </r>
  <r>
    <s v="ORD-2026-0167"/>
    <x v="131"/>
    <x v="9"/>
    <x v="8"/>
    <x v="3"/>
    <s v="Golden Hardware"/>
    <x v="1"/>
    <x v="2"/>
    <x v="16"/>
    <n v="2"/>
    <n v="120"/>
    <n v="0"/>
    <x v="0"/>
    <s v="Q4"/>
    <x v="0"/>
    <n v="240"/>
    <n v="0"/>
    <n v="240"/>
  </r>
  <r>
    <s v="ORD-2026-0168"/>
    <x v="132"/>
    <x v="10"/>
    <x v="0"/>
    <x v="0"/>
    <s v="Central Pharmacy"/>
    <x v="1"/>
    <x v="2"/>
    <x v="11"/>
    <n v="4"/>
    <n v="210"/>
    <n v="0"/>
    <x v="1"/>
    <s v="Q4"/>
    <x v="0"/>
    <n v="840"/>
    <n v="0"/>
    <n v="840"/>
  </r>
  <r>
    <s v="ORD-2026-0169"/>
    <x v="132"/>
    <x v="10"/>
    <x v="8"/>
    <x v="3"/>
    <s v="Prime Office Supply"/>
    <x v="1"/>
    <x v="0"/>
    <x v="3"/>
    <n v="9"/>
    <n v="20000"/>
    <n v="0"/>
    <x v="2"/>
    <s v="Q4"/>
    <x v="0"/>
    <n v="180000"/>
    <n v="0"/>
    <n v="180000"/>
  </r>
  <r>
    <s v="ORD-2026-0170"/>
    <x v="133"/>
    <x v="10"/>
    <x v="2"/>
    <x v="2"/>
    <s v="Golden Hardware"/>
    <x v="1"/>
    <x v="1"/>
    <x v="10"/>
    <n v="5"/>
    <n v="6900"/>
    <n v="0"/>
    <x v="2"/>
    <s v="Q4"/>
    <x v="0"/>
    <n v="34500"/>
    <n v="0"/>
    <n v="34500"/>
  </r>
  <r>
    <s v="ORD-2026-0171"/>
    <x v="133"/>
    <x v="10"/>
    <x v="3"/>
    <x v="3"/>
    <s v="Green Valley School"/>
    <x v="2"/>
    <x v="1"/>
    <x v="5"/>
    <n v="1"/>
    <n v="4200"/>
    <n v="0.15"/>
    <x v="2"/>
    <s v="Q4"/>
    <x v="0"/>
    <n v="4200"/>
    <n v="630"/>
    <n v="3570"/>
  </r>
  <r>
    <s v="ORD-2026-0172"/>
    <x v="133"/>
    <x v="10"/>
    <x v="5"/>
    <x v="2"/>
    <s v="North Star Trading"/>
    <x v="2"/>
    <x v="0"/>
    <x v="0"/>
    <n v="10"/>
    <n v="6000"/>
    <n v="0.15"/>
    <x v="3"/>
    <s v="Q4"/>
    <x v="0"/>
    <n v="60000"/>
    <n v="9000"/>
    <n v="51000"/>
  </r>
  <r>
    <s v="ORD-2026-0173"/>
    <x v="133"/>
    <x v="10"/>
    <x v="10"/>
    <x v="3"/>
    <s v="Tech Solutions Inc."/>
    <x v="1"/>
    <x v="0"/>
    <x v="9"/>
    <n v="8"/>
    <n v="720"/>
    <n v="0"/>
    <x v="1"/>
    <s v="Q4"/>
    <x v="0"/>
    <n v="5760"/>
    <n v="0"/>
    <n v="5760"/>
  </r>
  <r>
    <s v="ORD-2026-0174"/>
    <x v="133"/>
    <x v="10"/>
    <x v="9"/>
    <x v="2"/>
    <s v="XYZ Trading"/>
    <x v="1"/>
    <x v="1"/>
    <x v="12"/>
    <n v="2"/>
    <n v="3100"/>
    <n v="0"/>
    <x v="2"/>
    <s v="Q4"/>
    <x v="0"/>
    <n v="6200"/>
    <n v="0"/>
    <n v="6200"/>
  </r>
  <r>
    <s v="ORD-2026-0175"/>
    <x v="133"/>
    <x v="10"/>
    <x v="8"/>
    <x v="3"/>
    <s v="City Government"/>
    <x v="2"/>
    <x v="2"/>
    <x v="13"/>
    <n v="6"/>
    <n v="60"/>
    <n v="0.15"/>
    <x v="0"/>
    <s v="Q4"/>
    <x v="0"/>
    <n v="360"/>
    <n v="54"/>
    <n v="306"/>
  </r>
  <r>
    <s v="ORD-2026-0176"/>
    <x v="133"/>
    <x v="10"/>
    <x v="4"/>
    <x v="3"/>
    <s v="Silverline Stores"/>
    <x v="1"/>
    <x v="1"/>
    <x v="1"/>
    <n v="3"/>
    <n v="7500"/>
    <n v="0"/>
    <x v="3"/>
    <s v="Q4"/>
    <x v="0"/>
    <n v="22500"/>
    <n v="0"/>
    <n v="22500"/>
  </r>
  <r>
    <s v="ORD-2026-0177"/>
    <x v="134"/>
    <x v="10"/>
    <x v="6"/>
    <x v="0"/>
    <s v="Horizon Enterprises"/>
    <x v="1"/>
    <x v="0"/>
    <x v="3"/>
    <n v="10"/>
    <n v="20000"/>
    <n v="0"/>
    <x v="3"/>
    <s v="Q4"/>
    <x v="0"/>
    <n v="200000"/>
    <n v="0"/>
    <n v="200000"/>
  </r>
  <r>
    <s v="ORD-2026-0178"/>
    <x v="135"/>
    <x v="10"/>
    <x v="11"/>
    <x v="0"/>
    <s v="XYZ Trading"/>
    <x v="1"/>
    <x v="0"/>
    <x v="0"/>
    <n v="4"/>
    <n v="6000"/>
    <n v="0"/>
    <x v="0"/>
    <s v="Q4"/>
    <x v="0"/>
    <n v="24000"/>
    <n v="0"/>
    <n v="24000"/>
  </r>
  <r>
    <s v="ORD-2026-0179"/>
    <x v="136"/>
    <x v="10"/>
    <x v="8"/>
    <x v="3"/>
    <s v="Crystal Mart"/>
    <x v="1"/>
    <x v="2"/>
    <x v="11"/>
    <n v="4"/>
    <n v="210"/>
    <n v="0"/>
    <x v="3"/>
    <s v="Q4"/>
    <x v="0"/>
    <n v="840"/>
    <n v="0"/>
    <n v="840"/>
  </r>
  <r>
    <s v="ORD-2026-0180"/>
    <x v="136"/>
    <x v="10"/>
    <x v="1"/>
    <x v="1"/>
    <s v="Golden Hardware"/>
    <x v="1"/>
    <x v="1"/>
    <x v="6"/>
    <n v="2"/>
    <n v="5200"/>
    <n v="0"/>
    <x v="0"/>
    <s v="Q4"/>
    <x v="0"/>
    <n v="10400"/>
    <n v="0"/>
    <n v="10400"/>
  </r>
  <r>
    <s v="ORD-2026-0181"/>
    <x v="136"/>
    <x v="10"/>
    <x v="7"/>
    <x v="1"/>
    <s v="Pacific Foods"/>
    <x v="1"/>
    <x v="2"/>
    <x v="8"/>
    <n v="4"/>
    <n v="5000"/>
    <n v="0"/>
    <x v="0"/>
    <s v="Q4"/>
    <x v="0"/>
    <n v="20000"/>
    <n v="0"/>
    <n v="20000"/>
  </r>
  <r>
    <s v="ORD-2026-0182"/>
    <x v="137"/>
    <x v="10"/>
    <x v="8"/>
    <x v="3"/>
    <s v="Bright Future Academy"/>
    <x v="1"/>
    <x v="2"/>
    <x v="14"/>
    <n v="1"/>
    <n v="90"/>
    <n v="0"/>
    <x v="1"/>
    <s v="Q4"/>
    <x v="0"/>
    <n v="90"/>
    <n v="0"/>
    <n v="90"/>
  </r>
  <r>
    <s v="ORD-2026-0183"/>
    <x v="138"/>
    <x v="10"/>
    <x v="9"/>
    <x v="2"/>
    <s v="Golden Hardware"/>
    <x v="1"/>
    <x v="2"/>
    <x v="14"/>
    <n v="7"/>
    <n v="90"/>
    <n v="0"/>
    <x v="0"/>
    <s v="Q4"/>
    <x v="0"/>
    <n v="630"/>
    <n v="0"/>
    <n v="630"/>
  </r>
  <r>
    <s v="ORD-2026-0184"/>
    <x v="138"/>
    <x v="10"/>
    <x v="2"/>
    <x v="2"/>
    <s v="City Government"/>
    <x v="2"/>
    <x v="2"/>
    <x v="11"/>
    <n v="10"/>
    <n v="210"/>
    <n v="0.15"/>
    <x v="1"/>
    <s v="Q4"/>
    <x v="0"/>
    <n v="2100"/>
    <n v="315"/>
    <n v="1785"/>
  </r>
  <r>
    <s v="ORD-2026-0185"/>
    <x v="138"/>
    <x v="10"/>
    <x v="3"/>
    <x v="3"/>
    <s v="Prime Office Supply"/>
    <x v="1"/>
    <x v="2"/>
    <x v="11"/>
    <n v="5"/>
    <n v="210"/>
    <n v="0"/>
    <x v="3"/>
    <s v="Q4"/>
    <x v="0"/>
    <n v="1050"/>
    <n v="0"/>
    <n v="1050"/>
  </r>
  <r>
    <s v="ORD-2026-0186"/>
    <x v="139"/>
    <x v="10"/>
    <x v="5"/>
    <x v="2"/>
    <s v="XYZ Trading"/>
    <x v="1"/>
    <x v="2"/>
    <x v="13"/>
    <n v="9"/>
    <n v="60"/>
    <n v="0"/>
    <x v="1"/>
    <s v="Q4"/>
    <x v="0"/>
    <n v="540"/>
    <n v="0"/>
    <n v="540"/>
  </r>
  <r>
    <s v="ORD-2026-0187"/>
    <x v="140"/>
    <x v="10"/>
    <x v="10"/>
    <x v="3"/>
    <s v="Tech Solutions Inc."/>
    <x v="1"/>
    <x v="1"/>
    <x v="10"/>
    <n v="9"/>
    <n v="6900"/>
    <n v="0"/>
    <x v="2"/>
    <s v="Q4"/>
    <x v="0"/>
    <n v="62100"/>
    <n v="0"/>
    <n v="62100"/>
  </r>
  <r>
    <s v="ORD-2026-0188"/>
    <x v="141"/>
    <x v="10"/>
    <x v="8"/>
    <x v="3"/>
    <s v="Green Valley School"/>
    <x v="2"/>
    <x v="0"/>
    <x v="0"/>
    <n v="9"/>
    <n v="6000"/>
    <n v="0.15"/>
    <x v="3"/>
    <s v="Q4"/>
    <x v="0"/>
    <n v="54000"/>
    <n v="8100"/>
    <n v="45900"/>
  </r>
  <r>
    <s v="ORD-2026-0189"/>
    <x v="141"/>
    <x v="10"/>
    <x v="0"/>
    <x v="0"/>
    <s v="Prime Office Supply"/>
    <x v="1"/>
    <x v="1"/>
    <x v="1"/>
    <n v="3"/>
    <n v="7500"/>
    <n v="0"/>
    <x v="1"/>
    <s v="Q4"/>
    <x v="0"/>
    <n v="22500"/>
    <n v="0"/>
    <n v="22500"/>
  </r>
  <r>
    <s v="ORD-2026-0190"/>
    <x v="141"/>
    <x v="10"/>
    <x v="8"/>
    <x v="3"/>
    <s v="North Star Trading"/>
    <x v="2"/>
    <x v="2"/>
    <x v="16"/>
    <n v="3"/>
    <n v="120"/>
    <n v="0.15"/>
    <x v="3"/>
    <s v="Q4"/>
    <x v="0"/>
    <n v="360"/>
    <n v="54"/>
    <n v="306"/>
  </r>
  <r>
    <s v="ORD-2026-0191"/>
    <x v="141"/>
    <x v="10"/>
    <x v="11"/>
    <x v="0"/>
    <s v="First Choice Supplies"/>
    <x v="1"/>
    <x v="0"/>
    <x v="3"/>
    <n v="4"/>
    <n v="20000"/>
    <n v="0"/>
    <x v="2"/>
    <s v="Q4"/>
    <x v="0"/>
    <n v="80000"/>
    <n v="0"/>
    <n v="80000"/>
  </r>
  <r>
    <s v="ORD-2026-0192"/>
    <x v="141"/>
    <x v="10"/>
    <x v="4"/>
    <x v="3"/>
    <s v="XYZ Trading"/>
    <x v="1"/>
    <x v="0"/>
    <x v="3"/>
    <n v="10"/>
    <n v="20000"/>
    <n v="0"/>
    <x v="3"/>
    <s v="Q4"/>
    <x v="0"/>
    <n v="200000"/>
    <n v="0"/>
    <n v="200000"/>
  </r>
  <r>
    <s v="ORD-2026-0193"/>
    <x v="141"/>
    <x v="10"/>
    <x v="9"/>
    <x v="2"/>
    <s v="Horizon Enterprises"/>
    <x v="1"/>
    <x v="1"/>
    <x v="10"/>
    <n v="7"/>
    <n v="6900"/>
    <n v="0"/>
    <x v="2"/>
    <s v="Q4"/>
    <x v="0"/>
    <n v="48300"/>
    <n v="0"/>
    <n v="48300"/>
  </r>
  <r>
    <s v="ORD-2026-0194"/>
    <x v="142"/>
    <x v="10"/>
    <x v="6"/>
    <x v="0"/>
    <s v="City Government"/>
    <x v="2"/>
    <x v="2"/>
    <x v="4"/>
    <n v="2"/>
    <n v="190"/>
    <n v="0.15"/>
    <x v="3"/>
    <s v="Q4"/>
    <x v="0"/>
    <n v="380"/>
    <n v="57"/>
    <n v="323"/>
  </r>
  <r>
    <s v="ORD-2026-0195"/>
    <x v="143"/>
    <x v="10"/>
    <x v="7"/>
    <x v="1"/>
    <s v="Central Pharmacy"/>
    <x v="1"/>
    <x v="2"/>
    <x v="2"/>
    <n v="10"/>
    <n v="180"/>
    <n v="0"/>
    <x v="1"/>
    <s v="Q4"/>
    <x v="0"/>
    <n v="1800"/>
    <n v="0"/>
    <n v="1800"/>
  </r>
  <r>
    <s v="ORD-2026-0196"/>
    <x v="144"/>
    <x v="10"/>
    <x v="8"/>
    <x v="3"/>
    <s v="Golden Hardware"/>
    <x v="1"/>
    <x v="2"/>
    <x v="18"/>
    <n v="6"/>
    <n v="75"/>
    <n v="0"/>
    <x v="0"/>
    <s v="Q4"/>
    <x v="0"/>
    <n v="450"/>
    <n v="0"/>
    <n v="450"/>
  </r>
  <r>
    <s v="ORD-2026-0197"/>
    <x v="145"/>
    <x v="10"/>
    <x v="1"/>
    <x v="1"/>
    <s v="Prime Office Supply"/>
    <x v="1"/>
    <x v="2"/>
    <x v="16"/>
    <n v="6"/>
    <n v="120"/>
    <n v="0"/>
    <x v="3"/>
    <s v="Q4"/>
    <x v="0"/>
    <n v="720"/>
    <n v="0"/>
    <n v="720"/>
  </r>
  <r>
    <s v="ORD-2026-0198"/>
    <x v="146"/>
    <x v="10"/>
    <x v="8"/>
    <x v="3"/>
    <s v="XYZ Trading"/>
    <x v="1"/>
    <x v="2"/>
    <x v="4"/>
    <n v="9"/>
    <n v="190"/>
    <n v="0"/>
    <x v="3"/>
    <s v="Q4"/>
    <x v="0"/>
    <n v="1710"/>
    <n v="0"/>
    <n v="1710"/>
  </r>
  <r>
    <s v="ORD-2026-0199"/>
    <x v="147"/>
    <x v="10"/>
    <x v="8"/>
    <x v="3"/>
    <s v="Tech Solutions Inc."/>
    <x v="1"/>
    <x v="1"/>
    <x v="6"/>
    <n v="10"/>
    <n v="5200"/>
    <n v="0"/>
    <x v="3"/>
    <s v="Q4"/>
    <x v="0"/>
    <n v="52000"/>
    <n v="0"/>
    <n v="52000"/>
  </r>
  <r>
    <s v="ORD-2026-0200"/>
    <x v="147"/>
    <x v="10"/>
    <x v="2"/>
    <x v="2"/>
    <s v="Horizon Enterprises"/>
    <x v="1"/>
    <x v="1"/>
    <x v="10"/>
    <n v="9"/>
    <n v="6900"/>
    <n v="0"/>
    <x v="2"/>
    <s v="Q4"/>
    <x v="0"/>
    <n v="62100"/>
    <n v="0"/>
    <n v="62100"/>
  </r>
  <r>
    <s v="ORD-2026-0201"/>
    <x v="148"/>
    <x v="10"/>
    <x v="3"/>
    <x v="3"/>
    <s v="Blue Ocean Trading"/>
    <x v="1"/>
    <x v="2"/>
    <x v="16"/>
    <n v="5"/>
    <n v="120"/>
    <n v="0"/>
    <x v="2"/>
    <s v="Q4"/>
    <x v="0"/>
    <n v="600"/>
    <n v="0"/>
    <n v="600"/>
  </r>
  <r>
    <s v="ORD-2026-0202"/>
    <x v="149"/>
    <x v="11"/>
    <x v="5"/>
    <x v="2"/>
    <s v="XYZ Trading"/>
    <x v="1"/>
    <x v="0"/>
    <x v="0"/>
    <n v="8"/>
    <n v="6000"/>
    <n v="0"/>
    <x v="1"/>
    <s v="Q4"/>
    <x v="0"/>
    <n v="48000"/>
    <n v="0"/>
    <n v="48000"/>
  </r>
  <r>
    <s v="ORD-2026-0203"/>
    <x v="150"/>
    <x v="11"/>
    <x v="10"/>
    <x v="3"/>
    <s v="Bright Future Academy"/>
    <x v="1"/>
    <x v="2"/>
    <x v="13"/>
    <n v="2"/>
    <n v="60"/>
    <n v="0"/>
    <x v="1"/>
    <s v="Q4"/>
    <x v="0"/>
    <n v="120"/>
    <n v="0"/>
    <n v="120"/>
  </r>
  <r>
    <s v="ORD-2026-0204"/>
    <x v="151"/>
    <x v="11"/>
    <x v="9"/>
    <x v="2"/>
    <s v="Golden Hardware"/>
    <x v="1"/>
    <x v="2"/>
    <x v="14"/>
    <n v="5"/>
    <n v="90"/>
    <n v="0"/>
    <x v="1"/>
    <s v="Q4"/>
    <x v="0"/>
    <n v="450"/>
    <n v="0"/>
    <n v="450"/>
  </r>
  <r>
    <s v="ORD-2026-0205"/>
    <x v="152"/>
    <x v="11"/>
    <x v="11"/>
    <x v="0"/>
    <s v="Green Valley School"/>
    <x v="2"/>
    <x v="1"/>
    <x v="6"/>
    <n v="10"/>
    <n v="5200"/>
    <n v="0.15"/>
    <x v="0"/>
    <s v="Q4"/>
    <x v="0"/>
    <n v="52000"/>
    <n v="7800"/>
    <n v="44200"/>
  </r>
  <r>
    <s v="ORD-2026-0206"/>
    <x v="153"/>
    <x v="11"/>
    <x v="6"/>
    <x v="0"/>
    <s v="North Star Trading"/>
    <x v="2"/>
    <x v="1"/>
    <x v="5"/>
    <n v="7"/>
    <n v="4200"/>
    <n v="0.15"/>
    <x v="3"/>
    <s v="Q4"/>
    <x v="0"/>
    <n v="29400"/>
    <n v="4410"/>
    <n v="24990"/>
  </r>
  <r>
    <s v="ORD-2026-0207"/>
    <x v="154"/>
    <x v="11"/>
    <x v="4"/>
    <x v="3"/>
    <s v="City Government"/>
    <x v="2"/>
    <x v="0"/>
    <x v="3"/>
    <n v="4"/>
    <n v="20000"/>
    <n v="0.15"/>
    <x v="2"/>
    <s v="Q4"/>
    <x v="0"/>
    <n v="80000"/>
    <n v="12000"/>
    <n v="68000"/>
  </r>
  <r>
    <s v="ORD-2026-0208"/>
    <x v="155"/>
    <x v="11"/>
    <x v="1"/>
    <x v="1"/>
    <s v="Elite Medical Center"/>
    <x v="1"/>
    <x v="2"/>
    <x v="18"/>
    <n v="5"/>
    <n v="75"/>
    <n v="0"/>
    <x v="1"/>
    <s v="Q4"/>
    <x v="0"/>
    <n v="375"/>
    <n v="0"/>
    <n v="375"/>
  </r>
  <r>
    <s v="ORD-2026-0209"/>
    <x v="156"/>
    <x v="11"/>
    <x v="7"/>
    <x v="1"/>
    <s v="Green Valley School"/>
    <x v="2"/>
    <x v="0"/>
    <x v="9"/>
    <n v="7"/>
    <n v="720"/>
    <n v="0.15"/>
    <x v="3"/>
    <s v="Q4"/>
    <x v="0"/>
    <n v="5040"/>
    <n v="756"/>
    <n v="4284"/>
  </r>
  <r>
    <s v="ORD-2026-0210"/>
    <x v="156"/>
    <x v="11"/>
    <x v="8"/>
    <x v="3"/>
    <s v="Pioneer Construction"/>
    <x v="0"/>
    <x v="0"/>
    <x v="15"/>
    <n v="6"/>
    <n v="850"/>
    <n v="0.1"/>
    <x v="3"/>
    <s v="Q4"/>
    <x v="0"/>
    <n v="5100"/>
    <n v="510"/>
    <n v="4590"/>
  </r>
  <r>
    <s v="ORD-2026-0211"/>
    <x v="156"/>
    <x v="11"/>
    <x v="8"/>
    <x v="3"/>
    <s v="XYZ Trading"/>
    <x v="1"/>
    <x v="2"/>
    <x v="14"/>
    <n v="7"/>
    <n v="90"/>
    <n v="0"/>
    <x v="3"/>
    <s v="Q4"/>
    <x v="0"/>
    <n v="630"/>
    <n v="0"/>
    <n v="630"/>
  </r>
  <r>
    <s v="ORD-2026-0212"/>
    <x v="156"/>
    <x v="11"/>
    <x v="2"/>
    <x v="2"/>
    <s v="Golden Hardware"/>
    <x v="1"/>
    <x v="2"/>
    <x v="11"/>
    <n v="5"/>
    <n v="210"/>
    <n v="0"/>
    <x v="0"/>
    <s v="Q4"/>
    <x v="0"/>
    <n v="1050"/>
    <n v="0"/>
    <n v="1050"/>
  </r>
  <r>
    <s v="ORD-2026-0213"/>
    <x v="156"/>
    <x v="11"/>
    <x v="10"/>
    <x v="3"/>
    <s v="Prestige Holdings"/>
    <x v="0"/>
    <x v="2"/>
    <x v="8"/>
    <n v="5"/>
    <n v="5000"/>
    <n v="0.1"/>
    <x v="2"/>
    <s v="Q4"/>
    <x v="0"/>
    <n v="25000"/>
    <n v="2500"/>
    <n v="22500"/>
  </r>
  <r>
    <s v="ORD-2026-0214"/>
    <x v="157"/>
    <x v="11"/>
    <x v="8"/>
    <x v="3"/>
    <s v="Tech Solutions Inc."/>
    <x v="1"/>
    <x v="0"/>
    <x v="0"/>
    <n v="6"/>
    <n v="6000"/>
    <n v="0"/>
    <x v="2"/>
    <s v="Q4"/>
    <x v="0"/>
    <n v="36000"/>
    <n v="0"/>
    <n v="36000"/>
  </r>
  <r>
    <s v="ORD-2026-0215"/>
    <x v="158"/>
    <x v="11"/>
    <x v="9"/>
    <x v="2"/>
    <s v="Prime Office Supply"/>
    <x v="1"/>
    <x v="2"/>
    <x v="4"/>
    <n v="1"/>
    <n v="190"/>
    <n v="0"/>
    <x v="0"/>
    <s v="Q4"/>
    <x v="0"/>
    <n v="190"/>
    <n v="0"/>
    <n v="190"/>
  </r>
  <r>
    <s v="ORD-2026-0216"/>
    <x v="158"/>
    <x v="11"/>
    <x v="6"/>
    <x v="0"/>
    <s v="XYZ Trading"/>
    <x v="1"/>
    <x v="2"/>
    <x v="8"/>
    <n v="7"/>
    <n v="5000"/>
    <n v="0"/>
    <x v="1"/>
    <s v="Q4"/>
    <x v="0"/>
    <n v="35000"/>
    <n v="0"/>
    <n v="35000"/>
  </r>
  <r>
    <s v="ORD-2026-0217"/>
    <x v="158"/>
    <x v="11"/>
    <x v="8"/>
    <x v="3"/>
    <s v="Elite Medical Center"/>
    <x v="1"/>
    <x v="2"/>
    <x v="4"/>
    <n v="1"/>
    <n v="190"/>
    <n v="0"/>
    <x v="0"/>
    <s v="Q4"/>
    <x v="0"/>
    <n v="190"/>
    <n v="0"/>
    <n v="190"/>
  </r>
  <r>
    <s v="ORD-2026-0218"/>
    <x v="159"/>
    <x v="11"/>
    <x v="3"/>
    <x v="3"/>
    <s v="City Government"/>
    <x v="2"/>
    <x v="0"/>
    <x v="7"/>
    <n v="6"/>
    <n v="9500"/>
    <n v="0.15"/>
    <x v="3"/>
    <s v="Q4"/>
    <x v="0"/>
    <n v="57000"/>
    <n v="8550"/>
    <n v="48450"/>
  </r>
  <r>
    <s v="ORD-2026-0219"/>
    <x v="160"/>
    <x v="11"/>
    <x v="5"/>
    <x v="2"/>
    <s v="United Cooperative"/>
    <x v="0"/>
    <x v="1"/>
    <x v="10"/>
    <n v="6"/>
    <n v="6900"/>
    <n v="0.1"/>
    <x v="3"/>
    <s v="Q4"/>
    <x v="0"/>
    <n v="41400"/>
    <n v="4140"/>
    <n v="37260"/>
  </r>
  <r>
    <s v="ORD-2026-0220"/>
    <x v="161"/>
    <x v="11"/>
    <x v="11"/>
    <x v="0"/>
    <s v="Golden Hardware"/>
    <x v="1"/>
    <x v="2"/>
    <x v="14"/>
    <n v="6"/>
    <n v="90"/>
    <n v="0"/>
    <x v="1"/>
    <s v="Q4"/>
    <x v="0"/>
    <n v="540"/>
    <n v="0"/>
    <n v="540"/>
  </r>
  <r>
    <s v="ORD-2026-0221"/>
    <x v="162"/>
    <x v="11"/>
    <x v="4"/>
    <x v="3"/>
    <s v="XYZ Trading"/>
    <x v="1"/>
    <x v="2"/>
    <x v="11"/>
    <n v="1"/>
    <n v="210"/>
    <n v="0"/>
    <x v="2"/>
    <s v="Q4"/>
    <x v="0"/>
    <n v="210"/>
    <n v="0"/>
    <n v="210"/>
  </r>
  <r>
    <s v="ORD-2026-0222"/>
    <x v="162"/>
    <x v="11"/>
    <x v="8"/>
    <x v="3"/>
    <s v="Prime Office Supply"/>
    <x v="1"/>
    <x v="2"/>
    <x v="14"/>
    <n v="1"/>
    <n v="90"/>
    <n v="0"/>
    <x v="1"/>
    <s v="Q4"/>
    <x v="0"/>
    <n v="90"/>
    <n v="0"/>
    <n v="90"/>
  </r>
  <r>
    <s v="ORD-2026-0223"/>
    <x v="162"/>
    <x v="11"/>
    <x v="1"/>
    <x v="1"/>
    <s v="Green Valley School"/>
    <x v="2"/>
    <x v="0"/>
    <x v="15"/>
    <n v="5"/>
    <n v="850"/>
    <n v="0.15"/>
    <x v="3"/>
    <s v="Q4"/>
    <x v="0"/>
    <n v="4250"/>
    <n v="637.5"/>
    <n v="3612.5"/>
  </r>
  <r>
    <s v="ORD-2026-0224"/>
    <x v="162"/>
    <x v="11"/>
    <x v="8"/>
    <x v="3"/>
    <s v="North Star Trading"/>
    <x v="2"/>
    <x v="1"/>
    <x v="6"/>
    <n v="9"/>
    <n v="5200"/>
    <n v="0.15"/>
    <x v="0"/>
    <s v="Q4"/>
    <x v="0"/>
    <n v="46800"/>
    <n v="7020"/>
    <n v="39780"/>
  </r>
  <r>
    <s v="ORD-2026-0225"/>
    <x v="162"/>
    <x v="11"/>
    <x v="10"/>
    <x v="3"/>
    <s v="Prime Office Supply"/>
    <x v="1"/>
    <x v="1"/>
    <x v="12"/>
    <n v="7"/>
    <n v="3100"/>
    <n v="0"/>
    <x v="0"/>
    <s v="Q4"/>
    <x v="0"/>
    <n v="21700"/>
    <n v="0"/>
    <n v="21700"/>
  </r>
  <r>
    <s v="ORD-2026-0226"/>
    <x v="163"/>
    <x v="11"/>
    <x v="8"/>
    <x v="3"/>
    <s v="Central Pharmacy"/>
    <x v="1"/>
    <x v="0"/>
    <x v="9"/>
    <n v="4"/>
    <n v="720"/>
    <n v="0"/>
    <x v="3"/>
    <s v="Q4"/>
    <x v="0"/>
    <n v="2880"/>
    <n v="0"/>
    <n v="2880"/>
  </r>
  <r>
    <s v="ORD-2026-0227"/>
    <x v="164"/>
    <x v="11"/>
    <x v="9"/>
    <x v="2"/>
    <s v="XYZ Trading"/>
    <x v="1"/>
    <x v="0"/>
    <x v="9"/>
    <n v="3"/>
    <n v="720"/>
    <n v="0"/>
    <x v="1"/>
    <s v="Q4"/>
    <x v="0"/>
    <n v="2160"/>
    <n v="0"/>
    <n v="2160"/>
  </r>
  <r>
    <s v="ORD-2026-0228"/>
    <x v="165"/>
    <x v="11"/>
    <x v="6"/>
    <x v="0"/>
    <s v="Golden Hardware"/>
    <x v="1"/>
    <x v="1"/>
    <x v="1"/>
    <n v="7"/>
    <n v="7500"/>
    <n v="0"/>
    <x v="1"/>
    <s v="Q4"/>
    <x v="0"/>
    <n v="52500"/>
    <n v="0"/>
    <n v="52500"/>
  </r>
  <r>
    <s v="ORD-2026-0229"/>
    <x v="165"/>
    <x v="11"/>
    <x v="5"/>
    <x v="2"/>
    <s v="City Government"/>
    <x v="2"/>
    <x v="1"/>
    <x v="1"/>
    <n v="8"/>
    <n v="7500"/>
    <n v="0.15"/>
    <x v="0"/>
    <s v="Q4"/>
    <x v="0"/>
    <n v="60000"/>
    <n v="9000"/>
    <n v="51000"/>
  </r>
  <r>
    <s v="ORD-2026-0230"/>
    <x v="165"/>
    <x v="11"/>
    <x v="3"/>
    <x v="3"/>
    <s v="Mega Builders"/>
    <x v="0"/>
    <x v="0"/>
    <x v="0"/>
    <n v="4"/>
    <n v="6000"/>
    <n v="0.1"/>
    <x v="2"/>
    <s v="Q4"/>
    <x v="0"/>
    <n v="24000"/>
    <n v="2400"/>
    <n v="21600"/>
  </r>
  <r>
    <s v="ORD-2026-0231"/>
    <x v="166"/>
    <x v="11"/>
    <x v="2"/>
    <x v="2"/>
    <s v="Prestige Holdings"/>
    <x v="0"/>
    <x v="2"/>
    <x v="16"/>
    <n v="4"/>
    <n v="120"/>
    <n v="0.1"/>
    <x v="2"/>
    <s v="Q4"/>
    <x v="0"/>
    <n v="480"/>
    <n v="48"/>
    <n v="432"/>
  </r>
  <r>
    <s v="ORD-2026-0232"/>
    <x v="167"/>
    <x v="11"/>
    <x v="11"/>
    <x v="0"/>
    <s v="XYZ Trading"/>
    <x v="1"/>
    <x v="1"/>
    <x v="12"/>
    <n v="8"/>
    <n v="3100"/>
    <n v="0"/>
    <x v="0"/>
    <s v="Q4"/>
    <x v="0"/>
    <n v="24800"/>
    <n v="0"/>
    <n v="24800"/>
  </r>
  <r>
    <s v="ORD-2026-0233"/>
    <x v="168"/>
    <x v="11"/>
    <x v="7"/>
    <x v="1"/>
    <s v="Pacific Foods"/>
    <x v="1"/>
    <x v="2"/>
    <x v="17"/>
    <n v="7"/>
    <n v="32"/>
    <n v="0"/>
    <x v="1"/>
    <s v="Q4"/>
    <x v="0"/>
    <n v="224"/>
    <n v="0"/>
    <n v="224"/>
  </r>
  <r>
    <s v="ORD-2026-0234"/>
    <x v="168"/>
    <x v="11"/>
    <x v="1"/>
    <x v="1"/>
    <s v="Tech Solutions Inc."/>
    <x v="1"/>
    <x v="2"/>
    <x v="2"/>
    <n v="9"/>
    <n v="180"/>
    <n v="0"/>
    <x v="2"/>
    <s v="Q4"/>
    <x v="0"/>
    <n v="1620"/>
    <n v="0"/>
    <n v="1620"/>
  </r>
  <r>
    <s v="ORD-2026-0235"/>
    <x v="168"/>
    <x v="11"/>
    <x v="8"/>
    <x v="3"/>
    <s v="Elite Medical Center"/>
    <x v="1"/>
    <x v="2"/>
    <x v="17"/>
    <n v="4"/>
    <n v="32"/>
    <n v="0"/>
    <x v="1"/>
    <s v="Q4"/>
    <x v="0"/>
    <n v="128"/>
    <n v="0"/>
    <n v="128"/>
  </r>
  <r>
    <s v="ORD-2026-0236"/>
    <x v="169"/>
    <x v="11"/>
    <x v="8"/>
    <x v="3"/>
    <s v="Golden Hardware"/>
    <x v="1"/>
    <x v="2"/>
    <x v="2"/>
    <n v="4"/>
    <n v="180"/>
    <n v="0"/>
    <x v="1"/>
    <s v="Q4"/>
    <x v="0"/>
    <n v="720"/>
    <n v="0"/>
    <n v="720"/>
  </r>
  <r>
    <s v="ORD-2026-0237"/>
    <x v="170"/>
    <x v="11"/>
    <x v="4"/>
    <x v="3"/>
    <s v="XYZ Trading"/>
    <x v="1"/>
    <x v="2"/>
    <x v="8"/>
    <n v="1"/>
    <n v="5000"/>
    <n v="0"/>
    <x v="3"/>
    <s v="Q4"/>
    <x v="0"/>
    <n v="5000"/>
    <n v="0"/>
    <n v="5000"/>
  </r>
  <r>
    <s v="ORD-2026-0238"/>
    <x v="171"/>
    <x v="11"/>
    <x v="8"/>
    <x v="3"/>
    <s v="North Star Trading"/>
    <x v="2"/>
    <x v="2"/>
    <x v="16"/>
    <n v="8"/>
    <n v="120"/>
    <n v="0.15"/>
    <x v="0"/>
    <s v="Q4"/>
    <x v="0"/>
    <n v="960"/>
    <n v="144"/>
    <n v="816"/>
  </r>
  <r>
    <s v="ORD-2026-0239"/>
    <x v="171"/>
    <x v="11"/>
    <x v="9"/>
    <x v="2"/>
    <s v="Green Valley School"/>
    <x v="2"/>
    <x v="2"/>
    <x v="16"/>
    <n v="10"/>
    <n v="120"/>
    <n v="0.15"/>
    <x v="1"/>
    <s v="Q4"/>
    <x v="0"/>
    <n v="1200"/>
    <n v="180"/>
    <n v="1020"/>
  </r>
  <r>
    <s v="ORD-2026-0240"/>
    <x v="172"/>
    <x v="11"/>
    <x v="8"/>
    <x v="3"/>
    <s v="City Government"/>
    <x v="2"/>
    <x v="2"/>
    <x v="17"/>
    <n v="9"/>
    <n v="32"/>
    <n v="0.15"/>
    <x v="1"/>
    <s v="Q4"/>
    <x v="0"/>
    <n v="288"/>
    <n v="43.199999999999996"/>
    <n v="244.8"/>
  </r>
  <r>
    <s v="ORD-2026-0241"/>
    <x v="173"/>
    <x v="11"/>
    <x v="7"/>
    <x v="1"/>
    <s v="Central Pharmacy"/>
    <x v="1"/>
    <x v="2"/>
    <x v="14"/>
    <n v="9"/>
    <n v="90"/>
    <n v="0"/>
    <x v="3"/>
    <s v="Q4"/>
    <x v="0"/>
    <n v="810"/>
    <n v="0"/>
    <n v="810"/>
  </r>
  <r>
    <s v="ORD-2026-0242"/>
    <x v="174"/>
    <x v="0"/>
    <x v="6"/>
    <x v="0"/>
    <s v="Bright Future Academy"/>
    <x v="1"/>
    <x v="1"/>
    <x v="1"/>
    <n v="7"/>
    <n v="7500"/>
    <n v="0"/>
    <x v="0"/>
    <s v="Q1"/>
    <x v="1"/>
    <n v="52500"/>
    <n v="0"/>
    <n v="52500"/>
  </r>
  <r>
    <s v="ORD-2026-0243"/>
    <x v="175"/>
    <x v="0"/>
    <x v="10"/>
    <x v="3"/>
    <s v="XYZ Trading"/>
    <x v="1"/>
    <x v="0"/>
    <x v="15"/>
    <n v="8"/>
    <n v="850"/>
    <n v="0"/>
    <x v="0"/>
    <s v="Q1"/>
    <x v="1"/>
    <n v="6800"/>
    <n v="0"/>
    <n v="6800"/>
  </r>
  <r>
    <s v="ORD-2026-0244"/>
    <x v="176"/>
    <x v="0"/>
    <x v="1"/>
    <x v="1"/>
    <s v="Prime Office Supply"/>
    <x v="1"/>
    <x v="1"/>
    <x v="6"/>
    <n v="9"/>
    <n v="5200"/>
    <n v="0"/>
    <x v="2"/>
    <s v="Q1"/>
    <x v="1"/>
    <n v="46800"/>
    <n v="0"/>
    <n v="46800"/>
  </r>
  <r>
    <s v="ORD-2026-0245"/>
    <x v="177"/>
    <x v="0"/>
    <x v="10"/>
    <x v="3"/>
    <s v="Pacific Foods"/>
    <x v="1"/>
    <x v="2"/>
    <x v="16"/>
    <n v="8"/>
    <n v="120"/>
    <n v="0"/>
    <x v="3"/>
    <s v="Q1"/>
    <x v="1"/>
    <n v="960"/>
    <n v="0"/>
    <n v="960"/>
  </r>
  <r>
    <s v="ORD-2026-0246"/>
    <x v="178"/>
    <x v="0"/>
    <x v="8"/>
    <x v="3"/>
    <s v="Sunrise Retail"/>
    <x v="1"/>
    <x v="0"/>
    <x v="9"/>
    <n v="5"/>
    <n v="720"/>
    <n v="0"/>
    <x v="2"/>
    <s v="Q1"/>
    <x v="1"/>
    <n v="3600"/>
    <n v="0"/>
    <n v="3600"/>
  </r>
  <r>
    <s v="ORD-2026-0247"/>
    <x v="178"/>
    <x v="0"/>
    <x v="11"/>
    <x v="0"/>
    <s v="Tech Solutions Inc."/>
    <x v="1"/>
    <x v="2"/>
    <x v="13"/>
    <n v="9"/>
    <n v="60"/>
    <n v="0"/>
    <x v="2"/>
    <s v="Q1"/>
    <x v="1"/>
    <n v="540"/>
    <n v="0"/>
    <n v="540"/>
  </r>
  <r>
    <s v="ORD-2026-0248"/>
    <x v="178"/>
    <x v="0"/>
    <x v="2"/>
    <x v="2"/>
    <s v="Golden Hardware"/>
    <x v="1"/>
    <x v="1"/>
    <x v="5"/>
    <n v="8"/>
    <n v="4200"/>
    <n v="0"/>
    <x v="0"/>
    <s v="Q1"/>
    <x v="1"/>
    <n v="33600"/>
    <n v="0"/>
    <n v="33600"/>
  </r>
  <r>
    <s v="ORD-2026-0249"/>
    <x v="178"/>
    <x v="0"/>
    <x v="3"/>
    <x v="3"/>
    <s v="XYZ Trading"/>
    <x v="1"/>
    <x v="1"/>
    <x v="10"/>
    <n v="1"/>
    <n v="6900"/>
    <n v="0"/>
    <x v="1"/>
    <s v="Q1"/>
    <x v="1"/>
    <n v="6900"/>
    <n v="0"/>
    <n v="6900"/>
  </r>
  <r>
    <s v="ORD-2026-0250"/>
    <x v="179"/>
    <x v="0"/>
    <x v="5"/>
    <x v="2"/>
    <s v="Prime Office Supply"/>
    <x v="1"/>
    <x v="2"/>
    <x v="14"/>
    <n v="3"/>
    <n v="90"/>
    <n v="0"/>
    <x v="2"/>
    <s v="Q1"/>
    <x v="1"/>
    <n v="270"/>
    <n v="0"/>
    <n v="270"/>
  </r>
  <r>
    <s v="ORD-2026-0251"/>
    <x v="180"/>
    <x v="0"/>
    <x v="0"/>
    <x v="0"/>
    <s v="City Government"/>
    <x v="2"/>
    <x v="0"/>
    <x v="15"/>
    <n v="3"/>
    <n v="850"/>
    <n v="0.15"/>
    <x v="1"/>
    <s v="Q1"/>
    <x v="1"/>
    <n v="2550"/>
    <n v="382.5"/>
    <n v="2167.5"/>
  </r>
  <r>
    <s v="ORD-2026-0252"/>
    <x v="181"/>
    <x v="0"/>
    <x v="4"/>
    <x v="3"/>
    <s v="XYZ Trading"/>
    <x v="1"/>
    <x v="0"/>
    <x v="9"/>
    <n v="1"/>
    <n v="720"/>
    <n v="0"/>
    <x v="2"/>
    <s v="Q1"/>
    <x v="1"/>
    <n v="720"/>
    <n v="0"/>
    <n v="720"/>
  </r>
  <r>
    <s v="ORD-2026-0253"/>
    <x v="182"/>
    <x v="0"/>
    <x v="9"/>
    <x v="2"/>
    <s v="North Star Trading"/>
    <x v="2"/>
    <x v="2"/>
    <x v="11"/>
    <n v="3"/>
    <n v="210"/>
    <n v="0.15"/>
    <x v="3"/>
    <s v="Q1"/>
    <x v="1"/>
    <n v="630"/>
    <n v="94.5"/>
    <n v="535.5"/>
  </r>
  <r>
    <s v="ORD-2026-0254"/>
    <x v="182"/>
    <x v="0"/>
    <x v="11"/>
    <x v="0"/>
    <s v="XYZ Trading"/>
    <x v="1"/>
    <x v="2"/>
    <x v="4"/>
    <n v="5"/>
    <n v="190"/>
    <n v="0"/>
    <x v="3"/>
    <s v="Q1"/>
    <x v="1"/>
    <n v="950"/>
    <n v="0"/>
    <n v="950"/>
  </r>
  <r>
    <s v="ORD-2026-0255"/>
    <x v="182"/>
    <x v="0"/>
    <x v="7"/>
    <x v="1"/>
    <s v="Pacific Foods"/>
    <x v="1"/>
    <x v="0"/>
    <x v="9"/>
    <n v="9"/>
    <n v="720"/>
    <n v="0"/>
    <x v="1"/>
    <s v="Q1"/>
    <x v="1"/>
    <n v="6480"/>
    <n v="0"/>
    <n v="6480"/>
  </r>
  <r>
    <s v="ORD-2026-0256"/>
    <x v="182"/>
    <x v="0"/>
    <x v="8"/>
    <x v="3"/>
    <s v="Sunrise Retail"/>
    <x v="1"/>
    <x v="2"/>
    <x v="13"/>
    <n v="10"/>
    <n v="60"/>
    <n v="0"/>
    <x v="2"/>
    <s v="Q1"/>
    <x v="1"/>
    <n v="600"/>
    <n v="0"/>
    <n v="600"/>
  </r>
  <r>
    <s v="ORD-2026-0257"/>
    <x v="183"/>
    <x v="0"/>
    <x v="6"/>
    <x v="0"/>
    <s v="Alpha Distribution"/>
    <x v="0"/>
    <x v="0"/>
    <x v="3"/>
    <n v="4"/>
    <n v="20000"/>
    <n v="0.1"/>
    <x v="3"/>
    <s v="Q1"/>
    <x v="1"/>
    <n v="80000"/>
    <n v="8000"/>
    <n v="72000"/>
  </r>
  <r>
    <s v="ORD-2026-0258"/>
    <x v="184"/>
    <x v="0"/>
    <x v="0"/>
    <x v="0"/>
    <s v="United Cooperative"/>
    <x v="0"/>
    <x v="0"/>
    <x v="15"/>
    <n v="5"/>
    <n v="850"/>
    <n v="0.1"/>
    <x v="0"/>
    <s v="Q1"/>
    <x v="1"/>
    <n v="4250"/>
    <n v="425"/>
    <n v="3825"/>
  </r>
  <r>
    <s v="ORD-2026-0259"/>
    <x v="184"/>
    <x v="0"/>
    <x v="8"/>
    <x v="3"/>
    <s v="XYZ Trading"/>
    <x v="1"/>
    <x v="1"/>
    <x v="10"/>
    <n v="8"/>
    <n v="6900"/>
    <n v="0"/>
    <x v="3"/>
    <s v="Q1"/>
    <x v="1"/>
    <n v="55200"/>
    <n v="0"/>
    <n v="55200"/>
  </r>
  <r>
    <s v="ORD-2026-0260"/>
    <x v="184"/>
    <x v="0"/>
    <x v="7"/>
    <x v="1"/>
    <s v="Golden Hardware"/>
    <x v="1"/>
    <x v="1"/>
    <x v="10"/>
    <n v="4"/>
    <n v="6900"/>
    <n v="0"/>
    <x v="0"/>
    <s v="Q1"/>
    <x v="1"/>
    <n v="27600"/>
    <n v="0"/>
    <n v="27600"/>
  </r>
  <r>
    <s v="ORD-2026-0261"/>
    <x v="185"/>
    <x v="0"/>
    <x v="1"/>
    <x v="1"/>
    <s v="City Government"/>
    <x v="2"/>
    <x v="0"/>
    <x v="15"/>
    <n v="6"/>
    <n v="850"/>
    <n v="0.15"/>
    <x v="2"/>
    <s v="Q1"/>
    <x v="1"/>
    <n v="5100"/>
    <n v="765"/>
    <n v="4335"/>
  </r>
  <r>
    <s v="ORD-2026-0262"/>
    <x v="186"/>
    <x v="0"/>
    <x v="2"/>
    <x v="2"/>
    <s v="XYZ Trading"/>
    <x v="1"/>
    <x v="1"/>
    <x v="5"/>
    <n v="9"/>
    <n v="4200"/>
    <n v="0"/>
    <x v="1"/>
    <s v="Q1"/>
    <x v="1"/>
    <n v="37800"/>
    <n v="0"/>
    <n v="37800"/>
  </r>
  <r>
    <s v="ORD-2026-0263"/>
    <x v="187"/>
    <x v="0"/>
    <x v="10"/>
    <x v="3"/>
    <s v="ABC Corporation"/>
    <x v="0"/>
    <x v="1"/>
    <x v="5"/>
    <n v="9"/>
    <n v="4200"/>
    <n v="0.1"/>
    <x v="2"/>
    <s v="Q1"/>
    <x v="1"/>
    <n v="37800"/>
    <n v="3780"/>
    <n v="34020"/>
  </r>
  <r>
    <s v="ORD-2026-0264"/>
    <x v="188"/>
    <x v="0"/>
    <x v="11"/>
    <x v="0"/>
    <s v="Sunrise Retail"/>
    <x v="1"/>
    <x v="2"/>
    <x v="14"/>
    <n v="10"/>
    <n v="90"/>
    <n v="0"/>
    <x v="3"/>
    <s v="Q1"/>
    <x v="1"/>
    <n v="900"/>
    <n v="0"/>
    <n v="900"/>
  </r>
  <r>
    <s v="ORD-2026-0265"/>
    <x v="189"/>
    <x v="0"/>
    <x v="9"/>
    <x v="2"/>
    <s v="Pioneer Construction"/>
    <x v="0"/>
    <x v="0"/>
    <x v="7"/>
    <n v="10"/>
    <n v="9500"/>
    <n v="0.1"/>
    <x v="1"/>
    <s v="Q1"/>
    <x v="1"/>
    <n v="95000"/>
    <n v="9500"/>
    <n v="85500"/>
  </r>
  <r>
    <s v="ORD-2026-0266"/>
    <x v="190"/>
    <x v="0"/>
    <x v="0"/>
    <x v="0"/>
    <s v="Alpha Distribution"/>
    <x v="0"/>
    <x v="1"/>
    <x v="1"/>
    <n v="10"/>
    <n v="7500"/>
    <n v="0.1"/>
    <x v="0"/>
    <s v="Q1"/>
    <x v="1"/>
    <n v="75000"/>
    <n v="7500"/>
    <n v="67500"/>
  </r>
  <r>
    <s v="ORD-2026-0267"/>
    <x v="191"/>
    <x v="0"/>
    <x v="5"/>
    <x v="2"/>
    <s v="Pacific Foods"/>
    <x v="1"/>
    <x v="1"/>
    <x v="12"/>
    <n v="9"/>
    <n v="3100"/>
    <n v="0"/>
    <x v="3"/>
    <s v="Q1"/>
    <x v="1"/>
    <n v="27900"/>
    <n v="0"/>
    <n v="27900"/>
  </r>
  <r>
    <s v="ORD-2026-0268"/>
    <x v="192"/>
    <x v="0"/>
    <x v="6"/>
    <x v="0"/>
    <s v="Sunrise Retail"/>
    <x v="1"/>
    <x v="2"/>
    <x v="4"/>
    <n v="5"/>
    <n v="190"/>
    <n v="0"/>
    <x v="1"/>
    <s v="Q1"/>
    <x v="1"/>
    <n v="950"/>
    <n v="0"/>
    <n v="950"/>
  </r>
  <r>
    <s v="ORD-2026-0269"/>
    <x v="193"/>
    <x v="0"/>
    <x v="3"/>
    <x v="3"/>
    <s v="ABC Corporation"/>
    <x v="0"/>
    <x v="2"/>
    <x v="2"/>
    <n v="3"/>
    <n v="180"/>
    <n v="0.1"/>
    <x v="3"/>
    <s v="Q1"/>
    <x v="1"/>
    <n v="540"/>
    <n v="54"/>
    <n v="486"/>
  </r>
  <r>
    <s v="ORD-2026-0270"/>
    <x v="194"/>
    <x v="0"/>
    <x v="4"/>
    <x v="3"/>
    <s v="City Government"/>
    <x v="2"/>
    <x v="2"/>
    <x v="4"/>
    <n v="4"/>
    <n v="190"/>
    <n v="0.15"/>
    <x v="1"/>
    <s v="Q1"/>
    <x v="1"/>
    <n v="760"/>
    <n v="114"/>
    <n v="646"/>
  </r>
  <r>
    <s v="ORD-2026-0271"/>
    <x v="195"/>
    <x v="0"/>
    <x v="7"/>
    <x v="1"/>
    <s v="Sunrise Retail"/>
    <x v="1"/>
    <x v="1"/>
    <x v="1"/>
    <n v="8"/>
    <n v="7500"/>
    <n v="0"/>
    <x v="1"/>
    <s v="Q1"/>
    <x v="1"/>
    <n v="60000"/>
    <n v="0"/>
    <n v="60000"/>
  </r>
  <r>
    <s v="ORD-2026-0272"/>
    <x v="196"/>
    <x v="0"/>
    <x v="1"/>
    <x v="1"/>
    <s v="Prime Office Supply"/>
    <x v="1"/>
    <x v="2"/>
    <x v="11"/>
    <n v="6"/>
    <n v="210"/>
    <n v="0"/>
    <x v="2"/>
    <s v="Q1"/>
    <x v="1"/>
    <n v="1260"/>
    <n v="0"/>
    <n v="1260"/>
  </r>
  <r>
    <s v="ORD-2026-0273"/>
    <x v="197"/>
    <x v="0"/>
    <x v="8"/>
    <x v="3"/>
    <s v="ABC Corporation"/>
    <x v="0"/>
    <x v="2"/>
    <x v="16"/>
    <n v="1"/>
    <n v="120"/>
    <n v="0.1"/>
    <x v="3"/>
    <s v="Q1"/>
    <x v="1"/>
    <n v="120"/>
    <n v="12"/>
    <n v="108"/>
  </r>
  <r>
    <s v="ORD-2026-0274"/>
    <x v="198"/>
    <x v="0"/>
    <x v="11"/>
    <x v="0"/>
    <s v="Golden Hardware"/>
    <x v="1"/>
    <x v="1"/>
    <x v="10"/>
    <n v="7"/>
    <n v="6900"/>
    <n v="0"/>
    <x v="2"/>
    <s v="Q1"/>
    <x v="1"/>
    <n v="48300"/>
    <n v="0"/>
    <n v="48300"/>
  </r>
  <r>
    <s v="ORD-2026-0275"/>
    <x v="199"/>
    <x v="0"/>
    <x v="10"/>
    <x v="3"/>
    <s v="Pioneer Construction"/>
    <x v="0"/>
    <x v="0"/>
    <x v="3"/>
    <n v="10"/>
    <n v="20000"/>
    <n v="0.1"/>
    <x v="2"/>
    <s v="Q1"/>
    <x v="1"/>
    <n v="200000"/>
    <n v="20000"/>
    <n v="180000"/>
  </r>
  <r>
    <s v="ORD-2026-0276"/>
    <x v="200"/>
    <x v="0"/>
    <x v="2"/>
    <x v="2"/>
    <s v="Pioneer Construction"/>
    <x v="0"/>
    <x v="2"/>
    <x v="14"/>
    <n v="10"/>
    <n v="90"/>
    <n v="0.1"/>
    <x v="3"/>
    <s v="Q1"/>
    <x v="1"/>
    <n v="900"/>
    <n v="90"/>
    <n v="810"/>
  </r>
  <r>
    <s v="ORD-2026-0277"/>
    <x v="201"/>
    <x v="1"/>
    <x v="0"/>
    <x v="0"/>
    <s v="Green Valley School"/>
    <x v="2"/>
    <x v="2"/>
    <x v="17"/>
    <n v="3"/>
    <n v="32"/>
    <n v="0.15"/>
    <x v="2"/>
    <s v="Q1"/>
    <x v="1"/>
    <n v="96"/>
    <n v="14.399999999999999"/>
    <n v="81.599999999999994"/>
  </r>
  <r>
    <s v="ORD-2026-0278"/>
    <x v="202"/>
    <x v="1"/>
    <x v="8"/>
    <x v="3"/>
    <s v="City Government"/>
    <x v="2"/>
    <x v="1"/>
    <x v="6"/>
    <n v="4"/>
    <n v="5200"/>
    <n v="0.15"/>
    <x v="0"/>
    <s v="Q1"/>
    <x v="1"/>
    <n v="20800"/>
    <n v="3120"/>
    <n v="17680"/>
  </r>
  <r>
    <s v="ORD-2026-0279"/>
    <x v="202"/>
    <x v="1"/>
    <x v="9"/>
    <x v="2"/>
    <s v="ABC Corporation"/>
    <x v="0"/>
    <x v="2"/>
    <x v="13"/>
    <n v="10"/>
    <n v="60"/>
    <n v="0.1"/>
    <x v="3"/>
    <s v="Q1"/>
    <x v="1"/>
    <n v="600"/>
    <n v="60"/>
    <n v="540"/>
  </r>
  <r>
    <s v="ORD-2026-0280"/>
    <x v="203"/>
    <x v="1"/>
    <x v="3"/>
    <x v="3"/>
    <s v="XYZ Trading"/>
    <x v="1"/>
    <x v="0"/>
    <x v="15"/>
    <n v="10"/>
    <n v="850"/>
    <n v="0"/>
    <x v="3"/>
    <s v="Q1"/>
    <x v="1"/>
    <n v="8500"/>
    <n v="0"/>
    <n v="8500"/>
  </r>
  <r>
    <s v="ORD-2026-0281"/>
    <x v="204"/>
    <x v="1"/>
    <x v="8"/>
    <x v="3"/>
    <s v="Nova Systems"/>
    <x v="0"/>
    <x v="2"/>
    <x v="17"/>
    <n v="7"/>
    <n v="32"/>
    <n v="0.1"/>
    <x v="0"/>
    <s v="Q1"/>
    <x v="1"/>
    <n v="224"/>
    <n v="22.400000000000002"/>
    <n v="201.6"/>
  </r>
  <r>
    <s v="ORD-2026-0282"/>
    <x v="204"/>
    <x v="1"/>
    <x v="7"/>
    <x v="1"/>
    <s v="Golden Hardware"/>
    <x v="1"/>
    <x v="2"/>
    <x v="14"/>
    <n v="8"/>
    <n v="90"/>
    <n v="0"/>
    <x v="3"/>
    <s v="Q1"/>
    <x v="1"/>
    <n v="720"/>
    <n v="0"/>
    <n v="720"/>
  </r>
  <r>
    <s v="ORD-2026-0283"/>
    <x v="204"/>
    <x v="1"/>
    <x v="8"/>
    <x v="3"/>
    <s v="Nova Systems"/>
    <x v="0"/>
    <x v="2"/>
    <x v="2"/>
    <n v="8"/>
    <n v="180"/>
    <n v="0.1"/>
    <x v="0"/>
    <s v="Q1"/>
    <x v="1"/>
    <n v="1440"/>
    <n v="144"/>
    <n v="1296"/>
  </r>
  <r>
    <s v="ORD-2026-0284"/>
    <x v="205"/>
    <x v="1"/>
    <x v="6"/>
    <x v="0"/>
    <s v="Sunrise Retail"/>
    <x v="1"/>
    <x v="0"/>
    <x v="7"/>
    <n v="10"/>
    <n v="9500"/>
    <n v="0"/>
    <x v="1"/>
    <s v="Q1"/>
    <x v="1"/>
    <n v="95000"/>
    <n v="0"/>
    <n v="95000"/>
  </r>
  <r>
    <s v="ORD-2026-0285"/>
    <x v="205"/>
    <x v="1"/>
    <x v="1"/>
    <x v="1"/>
    <s v="Alpha Distribution"/>
    <x v="0"/>
    <x v="0"/>
    <x v="7"/>
    <n v="6"/>
    <n v="9500"/>
    <n v="0.1"/>
    <x v="3"/>
    <s v="Q1"/>
    <x v="1"/>
    <n v="57000"/>
    <n v="5700"/>
    <n v="51300"/>
  </r>
  <r>
    <s v="ORD-2026-0286"/>
    <x v="206"/>
    <x v="1"/>
    <x v="5"/>
    <x v="2"/>
    <s v="Prime Office Supply"/>
    <x v="1"/>
    <x v="0"/>
    <x v="3"/>
    <n v="9"/>
    <n v="20000"/>
    <n v="0"/>
    <x v="1"/>
    <s v="Q1"/>
    <x v="1"/>
    <n v="180000"/>
    <n v="0"/>
    <n v="180000"/>
  </r>
  <r>
    <s v="ORD-2026-0287"/>
    <x v="207"/>
    <x v="2"/>
    <x v="10"/>
    <x v="3"/>
    <s v="XYZ Trading"/>
    <x v="1"/>
    <x v="2"/>
    <x v="13"/>
    <n v="1"/>
    <n v="60"/>
    <n v="0"/>
    <x v="0"/>
    <s v="Q1"/>
    <x v="1"/>
    <n v="60"/>
    <n v="0"/>
    <n v="60"/>
  </r>
  <r>
    <s v="ORD-2026-0288"/>
    <x v="208"/>
    <x v="2"/>
    <x v="4"/>
    <x v="3"/>
    <s v="Mega Builders"/>
    <x v="0"/>
    <x v="0"/>
    <x v="3"/>
    <n v="5"/>
    <n v="20000"/>
    <n v="0.1"/>
    <x v="3"/>
    <s v="Q1"/>
    <x v="1"/>
    <n v="100000"/>
    <n v="10000"/>
    <n v="90000"/>
  </r>
  <r>
    <s v="ORD-2026-0289"/>
    <x v="209"/>
    <x v="2"/>
    <x v="11"/>
    <x v="0"/>
    <s v="ABC Corporation"/>
    <x v="0"/>
    <x v="2"/>
    <x v="4"/>
    <n v="8"/>
    <n v="190"/>
    <n v="0.1"/>
    <x v="2"/>
    <s v="Q1"/>
    <x v="1"/>
    <n v="1520"/>
    <n v="152"/>
    <n v="1368"/>
  </r>
  <r>
    <s v="ORD-2026-0290"/>
    <x v="210"/>
    <x v="2"/>
    <x v="0"/>
    <x v="0"/>
    <s v="XYZ Trading"/>
    <x v="1"/>
    <x v="2"/>
    <x v="17"/>
    <n v="4"/>
    <n v="32"/>
    <n v="0"/>
    <x v="2"/>
    <s v="Q1"/>
    <x v="1"/>
    <n v="128"/>
    <n v="0"/>
    <n v="128"/>
  </r>
  <r>
    <s v="ORD-2026-0291"/>
    <x v="211"/>
    <x v="2"/>
    <x v="7"/>
    <x v="1"/>
    <s v="Golden Hardware"/>
    <x v="1"/>
    <x v="0"/>
    <x v="15"/>
    <n v="5"/>
    <n v="850"/>
    <n v="0"/>
    <x v="0"/>
    <s v="Q1"/>
    <x v="1"/>
    <n v="4250"/>
    <n v="0"/>
    <n v="4250"/>
  </r>
  <r>
    <s v="ORD-2026-0292"/>
    <x v="212"/>
    <x v="2"/>
    <x v="2"/>
    <x v="2"/>
    <s v="Sunrise Retail"/>
    <x v="1"/>
    <x v="2"/>
    <x v="8"/>
    <n v="5"/>
    <n v="5000"/>
    <n v="0"/>
    <x v="1"/>
    <s v="Q1"/>
    <x v="1"/>
    <n v="25000"/>
    <n v="0"/>
    <n v="25000"/>
  </r>
  <r>
    <s v="ORD-2026-0293"/>
    <x v="213"/>
    <x v="2"/>
    <x v="8"/>
    <x v="3"/>
    <s v="ABC Corporation"/>
    <x v="0"/>
    <x v="2"/>
    <x v="17"/>
    <n v="8"/>
    <n v="32"/>
    <n v="0.1"/>
    <x v="0"/>
    <s v="Q1"/>
    <x v="1"/>
    <n v="256"/>
    <n v="25.6"/>
    <n v="230.4"/>
  </r>
  <r>
    <s v="ORD-2026-0294"/>
    <x v="214"/>
    <x v="2"/>
    <x v="8"/>
    <x v="3"/>
    <s v="Crystal Mart"/>
    <x v="1"/>
    <x v="2"/>
    <x v="17"/>
    <n v="3"/>
    <n v="32"/>
    <n v="0"/>
    <x v="1"/>
    <s v="Q1"/>
    <x v="1"/>
    <n v="96"/>
    <n v="0"/>
    <n v="96"/>
  </r>
  <r>
    <s v="ORD-2026-0295"/>
    <x v="215"/>
    <x v="2"/>
    <x v="9"/>
    <x v="2"/>
    <s v="Bright Future Academy"/>
    <x v="1"/>
    <x v="1"/>
    <x v="6"/>
    <n v="3"/>
    <n v="5200"/>
    <n v="0"/>
    <x v="3"/>
    <s v="Q1"/>
    <x v="1"/>
    <n v="15600"/>
    <n v="0"/>
    <n v="15600"/>
  </r>
  <r>
    <s v="ORD-2026-0296"/>
    <x v="216"/>
    <x v="2"/>
    <x v="0"/>
    <x v="0"/>
    <s v="First Choice Supplies"/>
    <x v="1"/>
    <x v="0"/>
    <x v="3"/>
    <n v="6"/>
    <n v="20000"/>
    <n v="0"/>
    <x v="3"/>
    <s v="Q1"/>
    <x v="1"/>
    <n v="120000"/>
    <n v="0"/>
    <n v="120000"/>
  </r>
  <r>
    <s v="ORD-2026-0297"/>
    <x v="217"/>
    <x v="2"/>
    <x v="8"/>
    <x v="3"/>
    <s v="Sunrise Retail"/>
    <x v="1"/>
    <x v="2"/>
    <x v="4"/>
    <n v="8"/>
    <n v="190"/>
    <n v="0"/>
    <x v="1"/>
    <s v="Q1"/>
    <x v="1"/>
    <n v="1520"/>
    <n v="0"/>
    <n v="1520"/>
  </r>
  <r>
    <s v="ORD-2026-0298"/>
    <x v="218"/>
    <x v="2"/>
    <x v="7"/>
    <x v="1"/>
    <s v="Golden Hardware"/>
    <x v="1"/>
    <x v="2"/>
    <x v="14"/>
    <n v="9"/>
    <n v="90"/>
    <n v="0"/>
    <x v="3"/>
    <s v="Q1"/>
    <x v="1"/>
    <n v="810"/>
    <n v="0"/>
    <n v="810"/>
  </r>
  <r>
    <s v="ORD-2026-0299"/>
    <x v="219"/>
    <x v="2"/>
    <x v="6"/>
    <x v="0"/>
    <s v="Alpha Distribution"/>
    <x v="0"/>
    <x v="1"/>
    <x v="1"/>
    <n v="5"/>
    <n v="7500"/>
    <n v="0.1"/>
    <x v="3"/>
    <s v="Q1"/>
    <x v="1"/>
    <n v="37500"/>
    <n v="3750"/>
    <n v="33750"/>
  </r>
  <r>
    <s v="ORD-2026-0300"/>
    <x v="220"/>
    <x v="2"/>
    <x v="3"/>
    <x v="3"/>
    <s v="Sunrise Retail"/>
    <x v="1"/>
    <x v="1"/>
    <x v="5"/>
    <n v="5"/>
    <n v="4200"/>
    <n v="0"/>
    <x v="2"/>
    <s v="Q1"/>
    <x v="1"/>
    <n v="21000"/>
    <n v="0"/>
    <n v="21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A496722-9DEC-4CB1-B20B-DE472CD18C45}" name="Customer Type Performance 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0" rowHeaderCaption="CUSTOMER TYPE">
  <location ref="K13:L17" firstHeaderRow="1" firstDataRow="1" firstDataCol="1"/>
  <pivotFields count="18">
    <pivotField showAll="0"/>
    <pivotField numFmtId="14" showAll="0">
      <items count="2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t="default"/>
      </items>
    </pivotField>
    <pivotField showAll="0"/>
    <pivotField showAll="0">
      <items count="13">
        <item x="3"/>
        <item x="7"/>
        <item x="10"/>
        <item x="8"/>
        <item x="1"/>
        <item x="0"/>
        <item x="4"/>
        <item x="9"/>
        <item x="5"/>
        <item x="11"/>
        <item x="2"/>
        <item x="6"/>
        <item t="default"/>
      </items>
    </pivotField>
    <pivotField showAll="0">
      <items count="5">
        <item x="1"/>
        <item x="0"/>
        <item x="3"/>
        <item x="2"/>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showAll="0"/>
    <pivotField showAll="0"/>
    <pivotField numFmtId="165" showAll="0"/>
    <pivotField numFmtId="9" showAll="0"/>
    <pivotField showAll="0"/>
    <pivotField showAll="0"/>
    <pivotField showAll="0">
      <items count="3">
        <item x="0"/>
        <item x="1"/>
        <item t="default"/>
      </items>
    </pivotField>
    <pivotField numFmtId="165" showAll="0"/>
    <pivotField numFmtId="165" showAll="0"/>
    <pivotField dataField="1" numFmtId="165" showAll="0"/>
  </pivotFields>
  <rowFields count="1">
    <field x="6"/>
  </rowFields>
  <rowItems count="4">
    <i>
      <x v="2"/>
    </i>
    <i>
      <x v="1"/>
    </i>
    <i>
      <x/>
    </i>
    <i t="grand">
      <x/>
    </i>
  </rowItems>
  <colItems count="1">
    <i/>
  </colItems>
  <dataFields count="1">
    <dataField name="Sum of Net Sales" fld="17" baseField="7" baseItem="0" numFmtId="165"/>
  </dataFields>
  <formats count="24">
    <format dxfId="23">
      <pivotArea field="7" type="button" dataOnly="0" labelOnly="1" outline="0"/>
    </format>
    <format dxfId="22">
      <pivotArea field="7" type="button" dataOnly="0" labelOnly="1" outline="0"/>
    </format>
    <format dxfId="21">
      <pivotArea dataOnly="0" labelOnly="1" outline="0" fieldPosition="0">
        <references count="1">
          <reference field="4294967294" count="1">
            <x v="0"/>
          </reference>
        </references>
      </pivotArea>
    </format>
    <format dxfId="20">
      <pivotArea dataOnly="0" labelOnly="1" outline="0" fieldPosition="0">
        <references count="1">
          <reference field="4294967294" count="1">
            <x v="0"/>
          </reference>
        </references>
      </pivotArea>
    </format>
    <format dxfId="19">
      <pivotArea field="6" type="button" dataOnly="0" labelOnly="1" outline="0" axis="axisRow" fieldPosition="0"/>
    </format>
    <format dxfId="18">
      <pivotArea field="6" type="button" dataOnly="0" labelOnly="1" outline="0" axis="axisRow" fieldPosition="0"/>
    </format>
    <format dxfId="17">
      <pivotArea dataOnly="0" labelOnly="1" grandRow="1" outline="0" fieldPosition="0"/>
    </format>
    <format dxfId="16">
      <pivotArea field="6" grandRow="1" outline="0" collapsedLevelsAreSubtotals="1" axis="axisRow" fieldPosition="0">
        <references count="1">
          <reference field="4294967294" count="1" selected="0">
            <x v="0"/>
          </reference>
        </references>
      </pivotArea>
    </format>
    <format dxfId="15">
      <pivotArea dataOnly="0" labelOnly="1" outline="0" fieldPosition="0">
        <references count="1">
          <reference field="4294967294" count="1">
            <x v="0"/>
          </reference>
        </references>
      </pivotArea>
    </format>
    <format dxfId="14">
      <pivotArea field="6" type="button" dataOnly="0" labelOnly="1" outline="0" axis="axisRow" fieldPosition="0"/>
    </format>
    <format dxfId="13">
      <pivotArea dataOnly="0" labelOnly="1" grandRow="1" outline="0" fieldPosition="0"/>
    </format>
    <format dxfId="12">
      <pivotArea field="6" grandRow="1" outline="0" collapsedLevelsAreSubtotals="1" axis="axisRow" fieldPosition="0">
        <references count="1">
          <reference field="4294967294" count="1" selected="0">
            <x v="0"/>
          </reference>
        </references>
      </pivotArea>
    </format>
    <format dxfId="11">
      <pivotArea dataOnly="0" labelOnly="1" outline="0" fieldPosition="0">
        <references count="1">
          <reference field="4294967294" count="1">
            <x v="0"/>
          </reference>
        </references>
      </pivotArea>
    </format>
    <format dxfId="10">
      <pivotArea field="6" type="button" dataOnly="0" labelOnly="1" outline="0" axis="axisRow" fieldPosition="0"/>
    </format>
    <format dxfId="9">
      <pivotArea dataOnly="0" labelOnly="1" outline="0" axis="axisValues" fieldPosition="0"/>
    </format>
    <format dxfId="8">
      <pivotArea dataOnly="0" labelOnly="1" outline="0" axis="axisValues" fieldPosition="0"/>
    </format>
    <format dxfId="7">
      <pivotArea field="6" type="button" dataOnly="0" labelOnly="1" outline="0" axis="axisRow" fieldPosition="0"/>
    </format>
    <format dxfId="6">
      <pivotArea dataOnly="0" labelOnly="1" outline="0" axis="axisValues" fieldPosition="0"/>
    </format>
    <format dxfId="5">
      <pivotArea grandRow="1" outline="0" collapsedLevelsAreSubtotals="1" fieldPosition="0"/>
    </format>
    <format dxfId="4">
      <pivotArea dataOnly="0" labelOnly="1" grandRow="1" outline="0" fieldPosition="0"/>
    </format>
    <format dxfId="3">
      <pivotArea field="6" type="button" dataOnly="0" labelOnly="1" outline="0" axis="axisRow" fieldPosition="0"/>
    </format>
    <format dxfId="2">
      <pivotArea dataOnly="0" labelOnly="1" outline="0" axis="axisValues" fieldPosition="0"/>
    </format>
    <format dxfId="1">
      <pivotArea grandRow="1" outline="0" collapsedLevelsAreSubtotals="1" fieldPosition="0"/>
    </format>
    <format dxfId="0">
      <pivotArea dataOnly="0" labelOnly="1" grandRow="1" outline="0" fieldPosition="0"/>
    </format>
  </formats>
  <chartFormats count="8">
    <chartFormat chart="12" format="39" series="1">
      <pivotArea type="data" outline="0" fieldPosition="0">
        <references count="1">
          <reference field="4294967294" count="1" selected="0">
            <x v="0"/>
          </reference>
        </references>
      </pivotArea>
    </chartFormat>
    <chartFormat chart="12" format="40">
      <pivotArea type="data" outline="0" fieldPosition="0">
        <references count="2">
          <reference field="4294967294" count="1" selected="0">
            <x v="0"/>
          </reference>
          <reference field="6" count="1" selected="0">
            <x v="2"/>
          </reference>
        </references>
      </pivotArea>
    </chartFormat>
    <chartFormat chart="12" format="41">
      <pivotArea type="data" outline="0" fieldPosition="0">
        <references count="2">
          <reference field="4294967294" count="1" selected="0">
            <x v="0"/>
          </reference>
          <reference field="6" count="1" selected="0">
            <x v="1"/>
          </reference>
        </references>
      </pivotArea>
    </chartFormat>
    <chartFormat chart="12" format="42">
      <pivotArea type="data" outline="0" fieldPosition="0">
        <references count="2">
          <reference field="4294967294" count="1" selected="0">
            <x v="0"/>
          </reference>
          <reference field="6" count="1" selected="0">
            <x v="0"/>
          </reference>
        </references>
      </pivotArea>
    </chartFormat>
    <chartFormat chart="16" format="6" series="1">
      <pivotArea type="data" outline="0" fieldPosition="0">
        <references count="1">
          <reference field="4294967294" count="1" selected="0">
            <x v="0"/>
          </reference>
        </references>
      </pivotArea>
    </chartFormat>
    <chartFormat chart="16" format="7">
      <pivotArea type="data" outline="0" fieldPosition="0">
        <references count="2">
          <reference field="4294967294" count="1" selected="0">
            <x v="0"/>
          </reference>
          <reference field="6" count="1" selected="0">
            <x v="2"/>
          </reference>
        </references>
      </pivotArea>
    </chartFormat>
    <chartFormat chart="16" format="8">
      <pivotArea type="data" outline="0" fieldPosition="0">
        <references count="2">
          <reference field="4294967294" count="1" selected="0">
            <x v="0"/>
          </reference>
          <reference field="6" count="1" selected="0">
            <x v="0"/>
          </reference>
        </references>
      </pivotArea>
    </chartFormat>
    <chartFormat chart="16" format="9">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92C215C-1BA7-4538-B1B7-9AD4BA4491AD}" name="Sales By Product"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rowHeaderCaption="PRODUCT">
  <location ref="E22:H28" firstHeaderRow="0" firstDataRow="1" firstDataCol="1"/>
  <pivotFields count="18">
    <pivotField showAll="0"/>
    <pivotField numFmtId="14" showAll="0">
      <items count="2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t="default"/>
      </items>
    </pivotField>
    <pivotField showAll="0"/>
    <pivotField showAll="0">
      <items count="13">
        <item x="3"/>
        <item x="7"/>
        <item x="10"/>
        <item x="8"/>
        <item x="1"/>
        <item x="0"/>
        <item x="4"/>
        <item x="9"/>
        <item x="5"/>
        <item x="11"/>
        <item x="2"/>
        <item x="6"/>
        <item t="default"/>
      </items>
    </pivotField>
    <pivotField showAll="0">
      <items count="5">
        <item x="1"/>
        <item x="0"/>
        <item x="3"/>
        <item x="2"/>
        <item t="default"/>
      </items>
    </pivotField>
    <pivotField showAll="0"/>
    <pivotField showAll="0">
      <items count="4">
        <item x="0"/>
        <item x="2"/>
        <item x="1"/>
        <item t="default"/>
      </items>
    </pivotField>
    <pivotField showAll="0">
      <items count="4">
        <item x="0"/>
        <item x="1"/>
        <item x="2"/>
        <item t="default"/>
      </items>
    </pivotField>
    <pivotField axis="axisRow" showAll="0" measureFilter="1" sortType="descending">
      <items count="20">
        <item x="13"/>
        <item x="2"/>
        <item x="6"/>
        <item x="10"/>
        <item x="17"/>
        <item x="18"/>
        <item x="15"/>
        <item x="3"/>
        <item x="14"/>
        <item x="0"/>
        <item x="9"/>
        <item x="16"/>
        <item x="5"/>
        <item x="8"/>
        <item x="7"/>
        <item x="4"/>
        <item x="12"/>
        <item x="11"/>
        <item x="1"/>
        <item t="default"/>
      </items>
      <autoSortScope>
        <pivotArea dataOnly="0" outline="0" fieldPosition="0">
          <references count="1">
            <reference field="4294967294" count="1" selected="0">
              <x v="0"/>
            </reference>
          </references>
        </pivotArea>
      </autoSortScope>
    </pivotField>
    <pivotField dataField="1" showAll="0"/>
    <pivotField numFmtId="165" showAll="0"/>
    <pivotField numFmtId="9" showAll="0"/>
    <pivotField showAll="0"/>
    <pivotField showAll="0"/>
    <pivotField showAll="0">
      <items count="3">
        <item x="0"/>
        <item x="1"/>
        <item t="default"/>
      </items>
    </pivotField>
    <pivotField numFmtId="165" showAll="0"/>
    <pivotField numFmtId="165" showAll="0"/>
    <pivotField dataField="1" numFmtId="165" showAll="0"/>
  </pivotFields>
  <rowFields count="1">
    <field x="8"/>
  </rowFields>
  <rowItems count="6">
    <i>
      <x v="7"/>
    </i>
    <i>
      <x v="18"/>
    </i>
    <i>
      <x v="3"/>
    </i>
    <i>
      <x v="9"/>
    </i>
    <i>
      <x v="14"/>
    </i>
    <i t="grand">
      <x/>
    </i>
  </rowItems>
  <colFields count="1">
    <field x="-2"/>
  </colFields>
  <colItems count="3">
    <i>
      <x/>
    </i>
    <i i="1">
      <x v="1"/>
    </i>
    <i i="2">
      <x v="2"/>
    </i>
  </colItems>
  <dataFields count="3">
    <dataField name="SUM OF NET SALES" fld="17" baseField="8" baseItem="7" numFmtId="165"/>
    <dataField name="QUANTITY SOLD" fld="9" subtotal="count" baseField="8" baseItem="7"/>
    <dataField name="% Of Total Sales" fld="17" showDataAs="percentOfTotal" baseField="8" baseItem="8" numFmtId="10"/>
  </dataFields>
  <formats count="32">
    <format dxfId="55">
      <pivotArea field="8" type="button" dataOnly="0" labelOnly="1" outline="0" axis="axisRow" fieldPosition="0"/>
    </format>
    <format dxfId="54">
      <pivotArea dataOnly="0" labelOnly="1" grandRow="1" outline="0" fieldPosition="0"/>
    </format>
    <format dxfId="53">
      <pivotArea field="8" grandRow="1" outline="0" collapsedLevelsAreSubtotals="1" axis="axisRow" fieldPosition="0">
        <references count="1">
          <reference field="4294967294" count="1" selected="0">
            <x v="0"/>
          </reference>
        </references>
      </pivotArea>
    </format>
    <format dxfId="52">
      <pivotArea field="8" grandRow="1" outline="0" collapsedLevelsAreSubtotals="1" axis="axisRow" fieldPosition="0">
        <references count="1">
          <reference field="4294967294" count="1" selected="0">
            <x v="1"/>
          </reference>
        </references>
      </pivotArea>
    </format>
    <format dxfId="51">
      <pivotArea dataOnly="0" labelOnly="1" outline="0" fieldPosition="0">
        <references count="1">
          <reference field="4294967294" count="1">
            <x v="1"/>
          </reference>
        </references>
      </pivotArea>
    </format>
    <format dxfId="50">
      <pivotArea dataOnly="0" labelOnly="1" outline="0" fieldPosition="0">
        <references count="1">
          <reference field="4294967294" count="1">
            <x v="0"/>
          </reference>
        </references>
      </pivotArea>
    </format>
    <format dxfId="49">
      <pivotArea field="8" grandRow="1" outline="0" collapsedLevelsAreSubtotals="1" axis="axisRow" fieldPosition="0">
        <references count="1">
          <reference field="4294967294" count="1" selected="0">
            <x v="2"/>
          </reference>
        </references>
      </pivotArea>
    </format>
    <format dxfId="48">
      <pivotArea dataOnly="0" labelOnly="1" outline="0" fieldPosition="0">
        <references count="1">
          <reference field="4294967294" count="1">
            <x v="2"/>
          </reference>
        </references>
      </pivotArea>
    </format>
    <format dxfId="47">
      <pivotArea field="8" type="button" dataOnly="0" labelOnly="1" outline="0" axis="axisRow" fieldPosition="0"/>
    </format>
    <format dxfId="46">
      <pivotArea dataOnly="0" labelOnly="1" grandRow="1" outline="0" fieldPosition="0"/>
    </format>
    <format dxfId="45">
      <pivotArea field="8" grandRow="1" outline="0" collapsedLevelsAreSubtotals="1" axis="axisRow" fieldPosition="0">
        <references count="1">
          <reference field="4294967294" count="1" selected="0">
            <x v="0"/>
          </reference>
        </references>
      </pivotArea>
    </format>
    <format dxfId="44">
      <pivotArea field="8" grandRow="1" outline="0" collapsedLevelsAreSubtotals="1" axis="axisRow" fieldPosition="0">
        <references count="1">
          <reference field="4294967294" count="1" selected="0">
            <x v="1"/>
          </reference>
        </references>
      </pivotArea>
    </format>
    <format dxfId="43">
      <pivotArea dataOnly="0" labelOnly="1" outline="0" fieldPosition="0">
        <references count="1">
          <reference field="4294967294" count="1">
            <x v="1"/>
          </reference>
        </references>
      </pivotArea>
    </format>
    <format dxfId="42">
      <pivotArea dataOnly="0" labelOnly="1" outline="0" fieldPosition="0">
        <references count="1">
          <reference field="4294967294" count="1">
            <x v="0"/>
          </reference>
        </references>
      </pivotArea>
    </format>
    <format dxfId="41">
      <pivotArea field="8" grandRow="1" outline="0" collapsedLevelsAreSubtotals="1" axis="axisRow" fieldPosition="0">
        <references count="1">
          <reference field="4294967294" count="1" selected="0">
            <x v="2"/>
          </reference>
        </references>
      </pivotArea>
    </format>
    <format dxfId="40">
      <pivotArea dataOnly="0" labelOnly="1" outline="0" fieldPosition="0">
        <references count="1">
          <reference field="4294967294" count="1">
            <x v="2"/>
          </reference>
        </references>
      </pivotArea>
    </format>
    <format dxfId="39">
      <pivotArea field="8" type="button" dataOnly="0" labelOnly="1" outline="0" axis="axisRow" fieldPosition="0"/>
    </format>
    <format dxfId="38">
      <pivotArea dataOnly="0" labelOnly="1" outline="0" fieldPosition="0">
        <references count="1">
          <reference field="4294967294" count="1">
            <x v="0"/>
          </reference>
        </references>
      </pivotArea>
    </format>
    <format dxfId="37">
      <pivotArea dataOnly="0" labelOnly="1" outline="0" fieldPosition="0">
        <references count="1">
          <reference field="4294967294" count="1">
            <x v="1"/>
          </reference>
        </references>
      </pivotArea>
    </format>
    <format dxfId="36">
      <pivotArea dataOnly="0" labelOnly="1" outline="0" fieldPosition="0">
        <references count="1">
          <reference field="4294967294" count="1">
            <x v="2"/>
          </reference>
        </references>
      </pivotArea>
    </format>
    <format dxfId="35">
      <pivotArea field="8" grandRow="1" outline="0" collapsedLevelsAreSubtotals="1" axis="axisRow" fieldPosition="0">
        <references count="1">
          <reference field="4294967294" count="1" selected="0">
            <x v="2"/>
          </reference>
        </references>
      </pivotArea>
    </format>
    <format dxfId="34">
      <pivotArea field="8" grandRow="1" outline="0" collapsedLevelsAreSubtotals="1" axis="axisRow" fieldPosition="0">
        <references count="1">
          <reference field="4294967294" count="1" selected="0">
            <x v="1"/>
          </reference>
        </references>
      </pivotArea>
    </format>
    <format dxfId="33">
      <pivotArea field="8" grandRow="1" outline="0" collapsedLevelsAreSubtotals="1" axis="axisRow" fieldPosition="0">
        <references count="1">
          <reference field="4294967294" count="1" selected="0">
            <x v="0"/>
          </reference>
        </references>
      </pivotArea>
    </format>
    <format dxfId="32">
      <pivotArea dataOnly="0" labelOnly="1" grandRow="1" outline="0" fieldPosition="0"/>
    </format>
    <format dxfId="31">
      <pivotArea field="8" type="button" dataOnly="0" labelOnly="1" outline="0" axis="axisRow" fieldPosition="0"/>
    </format>
    <format dxfId="30">
      <pivotArea dataOnly="0" labelOnly="1" outline="0" fieldPosition="0">
        <references count="1">
          <reference field="4294967294" count="1">
            <x v="0"/>
          </reference>
        </references>
      </pivotArea>
    </format>
    <format dxfId="29">
      <pivotArea dataOnly="0" labelOnly="1" outline="0" fieldPosition="0">
        <references count="1">
          <reference field="4294967294" count="1">
            <x v="1"/>
          </reference>
        </references>
      </pivotArea>
    </format>
    <format dxfId="28">
      <pivotArea dataOnly="0" labelOnly="1" outline="0" fieldPosition="0">
        <references count="1">
          <reference field="4294967294" count="1">
            <x v="2"/>
          </reference>
        </references>
      </pivotArea>
    </format>
    <format dxfId="27">
      <pivotArea field="8" grandRow="1" outline="0" collapsedLevelsAreSubtotals="1" axis="axisRow" fieldPosition="0">
        <references count="1">
          <reference field="4294967294" count="1" selected="0">
            <x v="2"/>
          </reference>
        </references>
      </pivotArea>
    </format>
    <format dxfId="26">
      <pivotArea field="8" grandRow="1" outline="0" collapsedLevelsAreSubtotals="1" axis="axisRow" fieldPosition="0">
        <references count="1">
          <reference field="4294967294" count="1" selected="0">
            <x v="1"/>
          </reference>
        </references>
      </pivotArea>
    </format>
    <format dxfId="25">
      <pivotArea field="8" grandRow="1" outline="0" collapsedLevelsAreSubtotals="1" axis="axisRow" fieldPosition="0">
        <references count="1">
          <reference field="4294967294" count="1" selected="0">
            <x v="0"/>
          </reference>
        </references>
      </pivotArea>
    </format>
    <format dxfId="24">
      <pivotArea dataOnly="0" labelOnly="1" grandRow="1" outline="0" fieldPosition="0"/>
    </format>
  </formats>
  <chartFormats count="9">
    <chartFormat chart="6" format="15" series="1">
      <pivotArea type="data" outline="0" fieldPosition="0">
        <references count="1">
          <reference field="4294967294" count="1" selected="0">
            <x v="0"/>
          </reference>
        </references>
      </pivotArea>
    </chartFormat>
    <chartFormat chart="6" format="16">
      <pivotArea type="data" outline="0" fieldPosition="0">
        <references count="2">
          <reference field="4294967294" count="1" selected="0">
            <x v="0"/>
          </reference>
          <reference field="8" count="1" selected="0">
            <x v="7"/>
          </reference>
        </references>
      </pivotArea>
    </chartFormat>
    <chartFormat chart="6" format="17" series="1">
      <pivotArea type="data" outline="0" fieldPosition="0">
        <references count="1">
          <reference field="4294967294" count="1" selected="0">
            <x v="1"/>
          </reference>
        </references>
      </pivotArea>
    </chartFormat>
    <chartFormat chart="6" format="18" series="1">
      <pivotArea type="data" outline="0" fieldPosition="0">
        <references count="1">
          <reference field="4294967294" count="1" selected="0">
            <x v="2"/>
          </reference>
        </references>
      </pivotArea>
    </chartFormat>
    <chartFormat chart="6" format="19">
      <pivotArea type="data" outline="0" fieldPosition="0">
        <references count="2">
          <reference field="4294967294" count="1" selected="0">
            <x v="2"/>
          </reference>
          <reference field="8" count="1" selected="0">
            <x v="7"/>
          </reference>
        </references>
      </pivotArea>
    </chartFormat>
    <chartFormat chart="6" format="20">
      <pivotArea type="data" outline="0" fieldPosition="0">
        <references count="2">
          <reference field="4294967294" count="1" selected="0">
            <x v="2"/>
          </reference>
          <reference field="8" count="1" selected="0">
            <x v="18"/>
          </reference>
        </references>
      </pivotArea>
    </chartFormat>
    <chartFormat chart="6" format="21">
      <pivotArea type="data" outline="0" fieldPosition="0">
        <references count="2">
          <reference field="4294967294" count="1" selected="0">
            <x v="2"/>
          </reference>
          <reference field="8" count="1" selected="0">
            <x v="3"/>
          </reference>
        </references>
      </pivotArea>
    </chartFormat>
    <chartFormat chart="6" format="22">
      <pivotArea type="data" outline="0" fieldPosition="0">
        <references count="2">
          <reference field="4294967294" count="1" selected="0">
            <x v="2"/>
          </reference>
          <reference field="8" count="1" selected="0">
            <x v="9"/>
          </reference>
        </references>
      </pivotArea>
    </chartFormat>
    <chartFormat chart="6" format="23">
      <pivotArea type="data" outline="0" fieldPosition="0">
        <references count="2">
          <reference field="4294967294" count="1" selected="0">
            <x v="2"/>
          </reference>
          <reference field="8" count="1" selected="0">
            <x v="14"/>
          </reference>
        </references>
      </pivotArea>
    </chartFormat>
  </chartFormats>
  <pivotTableStyleInfo name="PivotStyleLight16" showRowHeaders="1" showColHeaders="1" showRowStripes="0" showColStripes="0" showLastColumn="1"/>
  <filters count="1">
    <filter fld="8"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7DF6EF2-EC8E-4B04-B97B-C78794535414}" name="Sales By Customer Typ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rowHeaderCaption="CUSTOMER TYPE">
  <location ref="J22:M26" firstHeaderRow="0" firstDataRow="1" firstDataCol="1"/>
  <pivotFields count="18">
    <pivotField showAll="0"/>
    <pivotField numFmtId="14" showAll="0">
      <items count="2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t="default"/>
      </items>
    </pivotField>
    <pivotField showAll="0"/>
    <pivotField showAll="0">
      <items count="13">
        <item x="3"/>
        <item x="7"/>
        <item x="10"/>
        <item x="8"/>
        <item x="1"/>
        <item x="0"/>
        <item x="4"/>
        <item x="9"/>
        <item x="5"/>
        <item x="11"/>
        <item x="2"/>
        <item x="6"/>
        <item t="default"/>
      </items>
    </pivotField>
    <pivotField showAll="0">
      <items count="5">
        <item x="1"/>
        <item x="0"/>
        <item x="3"/>
        <item x="2"/>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showAll="0"/>
    <pivotField dataField="1" showAll="0"/>
    <pivotField numFmtId="165" showAll="0"/>
    <pivotField numFmtId="9" showAll="0"/>
    <pivotField showAll="0"/>
    <pivotField showAll="0"/>
    <pivotField showAll="0">
      <items count="3">
        <item x="0"/>
        <item x="1"/>
        <item t="default"/>
      </items>
    </pivotField>
    <pivotField numFmtId="165" showAll="0"/>
    <pivotField numFmtId="165" showAll="0"/>
    <pivotField dataField="1" numFmtId="165" showAll="0"/>
  </pivotFields>
  <rowFields count="1">
    <field x="6"/>
  </rowFields>
  <rowItems count="4">
    <i>
      <x v="2"/>
    </i>
    <i>
      <x v="1"/>
    </i>
    <i>
      <x/>
    </i>
    <i t="grand">
      <x/>
    </i>
  </rowItems>
  <colFields count="1">
    <field x="-2"/>
  </colFields>
  <colItems count="3">
    <i>
      <x/>
    </i>
    <i i="1">
      <x v="1"/>
    </i>
    <i i="2">
      <x v="2"/>
    </i>
  </colItems>
  <dataFields count="3">
    <dataField name="Sum of Net Sales" fld="17" baseField="7" baseItem="0" numFmtId="165"/>
    <dataField name="QUANTITY SOLD" fld="9" subtotal="count" baseField="7" baseItem="0"/>
    <dataField name="% of TOTAL SALES" fld="17" showDataAs="percentOfTotal" baseField="7" baseItem="0" numFmtId="10"/>
  </dataFields>
  <formats count="40">
    <format dxfId="95">
      <pivotArea field="7" type="button" dataOnly="0" labelOnly="1" outline="0"/>
    </format>
    <format dxfId="94">
      <pivotArea field="7" type="button" dataOnly="0" labelOnly="1" outline="0"/>
    </format>
    <format dxfId="93">
      <pivotArea dataOnly="0" labelOnly="1" outline="0" fieldPosition="0">
        <references count="1">
          <reference field="4294967294" count="3">
            <x v="0"/>
            <x v="1"/>
            <x v="2"/>
          </reference>
        </references>
      </pivotArea>
    </format>
    <format dxfId="92">
      <pivotArea dataOnly="0" labelOnly="1" outline="0" fieldPosition="0">
        <references count="1">
          <reference field="4294967294" count="3">
            <x v="0"/>
            <x v="1"/>
            <x v="2"/>
          </reference>
        </references>
      </pivotArea>
    </format>
    <format dxfId="91">
      <pivotArea field="6" type="button" dataOnly="0" labelOnly="1" outline="0" axis="axisRow" fieldPosition="0"/>
    </format>
    <format dxfId="90">
      <pivotArea field="6" type="button" dataOnly="0" labelOnly="1" outline="0" axis="axisRow" fieldPosition="0"/>
    </format>
    <format dxfId="89">
      <pivotArea dataOnly="0" labelOnly="1" grandRow="1" outline="0" fieldPosition="0"/>
    </format>
    <format dxfId="88">
      <pivotArea field="6" grandRow="1" outline="0" collapsedLevelsAreSubtotals="1" axis="axisRow" fieldPosition="0">
        <references count="1">
          <reference field="4294967294" count="1" selected="0">
            <x v="0"/>
          </reference>
        </references>
      </pivotArea>
    </format>
    <format dxfId="87">
      <pivotArea field="6" grandRow="1" outline="0" collapsedLevelsAreSubtotals="1" axis="axisRow" fieldPosition="0">
        <references count="1">
          <reference field="4294967294" count="1" selected="0">
            <x v="1"/>
          </reference>
        </references>
      </pivotArea>
    </format>
    <format dxfId="86">
      <pivotArea field="6" grandRow="1" outline="0" collapsedLevelsAreSubtotals="1" axis="axisRow" fieldPosition="0">
        <references count="1">
          <reference field="4294967294" count="1" selected="0">
            <x v="2"/>
          </reference>
        </references>
      </pivotArea>
    </format>
    <format dxfId="85">
      <pivotArea dataOnly="0" labelOnly="1" outline="0" fieldPosition="0">
        <references count="1">
          <reference field="4294967294" count="1">
            <x v="2"/>
          </reference>
        </references>
      </pivotArea>
    </format>
    <format dxfId="84">
      <pivotArea dataOnly="0" labelOnly="1" outline="0" fieldPosition="0">
        <references count="1">
          <reference field="4294967294" count="1">
            <x v="1"/>
          </reference>
        </references>
      </pivotArea>
    </format>
    <format dxfId="83">
      <pivotArea dataOnly="0" labelOnly="1" outline="0" fieldPosition="0">
        <references count="1">
          <reference field="4294967294" count="1">
            <x v="0"/>
          </reference>
        </references>
      </pivotArea>
    </format>
    <format dxfId="82">
      <pivotArea field="6" type="button" dataOnly="0" labelOnly="1" outline="0" axis="axisRow" fieldPosition="0"/>
    </format>
    <format dxfId="81">
      <pivotArea dataOnly="0" labelOnly="1" grandRow="1" outline="0" fieldPosition="0"/>
    </format>
    <format dxfId="80">
      <pivotArea field="6" grandRow="1" outline="0" collapsedLevelsAreSubtotals="1" axis="axisRow" fieldPosition="0">
        <references count="1">
          <reference field="4294967294" count="1" selected="0">
            <x v="0"/>
          </reference>
        </references>
      </pivotArea>
    </format>
    <format dxfId="79">
      <pivotArea field="6" grandRow="1" outline="0" collapsedLevelsAreSubtotals="1" axis="axisRow" fieldPosition="0">
        <references count="1">
          <reference field="4294967294" count="1" selected="0">
            <x v="1"/>
          </reference>
        </references>
      </pivotArea>
    </format>
    <format dxfId="78">
      <pivotArea field="6" grandRow="1" outline="0" collapsedLevelsAreSubtotals="1" axis="axisRow" fieldPosition="0">
        <references count="1">
          <reference field="4294967294" count="1" selected="0">
            <x v="2"/>
          </reference>
        </references>
      </pivotArea>
    </format>
    <format dxfId="77">
      <pivotArea dataOnly="0" labelOnly="1" outline="0" fieldPosition="0">
        <references count="1">
          <reference field="4294967294" count="1">
            <x v="2"/>
          </reference>
        </references>
      </pivotArea>
    </format>
    <format dxfId="76">
      <pivotArea dataOnly="0" labelOnly="1" outline="0" fieldPosition="0">
        <references count="1">
          <reference field="4294967294" count="1">
            <x v="1"/>
          </reference>
        </references>
      </pivotArea>
    </format>
    <format dxfId="75">
      <pivotArea dataOnly="0" labelOnly="1" outline="0" fieldPosition="0">
        <references count="1">
          <reference field="4294967294" count="1">
            <x v="0"/>
          </reference>
        </references>
      </pivotArea>
    </format>
    <format dxfId="74">
      <pivotArea field="6" type="button" dataOnly="0" labelOnly="1" outline="0" axis="axisRow" fieldPosition="0"/>
    </format>
    <format dxfId="73">
      <pivotArea field="6" type="button" dataOnly="0" labelOnly="1" outline="0" axis="axisRow" fieldPosition="0"/>
    </format>
    <format dxfId="72">
      <pivotArea dataOnly="0" labelOnly="1" outline="0" fieldPosition="0">
        <references count="1">
          <reference field="4294967294" count="1">
            <x v="0"/>
          </reference>
        </references>
      </pivotArea>
    </format>
    <format dxfId="71">
      <pivotArea dataOnly="0" labelOnly="1" outline="0" fieldPosition="0">
        <references count="1">
          <reference field="4294967294" count="1">
            <x v="1"/>
          </reference>
        </references>
      </pivotArea>
    </format>
    <format dxfId="70">
      <pivotArea dataOnly="0" labelOnly="1" outline="0" fieldPosition="0">
        <references count="1">
          <reference field="4294967294" count="1">
            <x v="2"/>
          </reference>
        </references>
      </pivotArea>
    </format>
    <format dxfId="69">
      <pivotArea field="6" grandRow="1" outline="0" collapsedLevelsAreSubtotals="1" axis="axisRow" fieldPosition="0">
        <references count="1">
          <reference field="4294967294" count="1" selected="0">
            <x v="2"/>
          </reference>
        </references>
      </pivotArea>
    </format>
    <format dxfId="68">
      <pivotArea field="6" grandRow="1" outline="0" collapsedLevelsAreSubtotals="1" axis="axisRow" fieldPosition="0">
        <references count="1">
          <reference field="4294967294" count="1" selected="0">
            <x v="1"/>
          </reference>
        </references>
      </pivotArea>
    </format>
    <format dxfId="67">
      <pivotArea field="6" grandRow="1" outline="0" collapsedLevelsAreSubtotals="1" axis="axisRow" fieldPosition="0">
        <references count="1">
          <reference field="4294967294" count="1" selected="0">
            <x v="0"/>
          </reference>
        </references>
      </pivotArea>
    </format>
    <format dxfId="66">
      <pivotArea dataOnly="0" labelOnly="1" grandRow="1" outline="0" fieldPosition="0"/>
    </format>
    <format dxfId="65">
      <pivotArea field="6" type="button" dataOnly="0" labelOnly="1" outline="0" axis="axisRow" fieldPosition="0"/>
    </format>
    <format dxfId="64">
      <pivotArea dataOnly="0" labelOnly="1" outline="0" fieldPosition="0">
        <references count="1">
          <reference field="4294967294" count="1">
            <x v="0"/>
          </reference>
        </references>
      </pivotArea>
    </format>
    <format dxfId="63">
      <pivotArea dataOnly="0" labelOnly="1" outline="0" fieldPosition="0">
        <references count="1">
          <reference field="4294967294" count="1">
            <x v="1"/>
          </reference>
        </references>
      </pivotArea>
    </format>
    <format dxfId="62">
      <pivotArea dataOnly="0" labelOnly="1" outline="0" fieldPosition="0">
        <references count="1">
          <reference field="4294967294" count="1">
            <x v="2"/>
          </reference>
        </references>
      </pivotArea>
    </format>
    <format dxfId="61">
      <pivotArea field="6" grandRow="1" outline="0" collapsedLevelsAreSubtotals="1" axis="axisRow" fieldPosition="0">
        <references count="1">
          <reference field="4294967294" count="1" selected="0">
            <x v="2"/>
          </reference>
        </references>
      </pivotArea>
    </format>
    <format dxfId="60">
      <pivotArea field="6" grandRow="1" outline="0" collapsedLevelsAreSubtotals="1" axis="axisRow" fieldPosition="0">
        <references count="1">
          <reference field="4294967294" count="1" selected="0">
            <x v="1"/>
          </reference>
        </references>
      </pivotArea>
    </format>
    <format dxfId="59">
      <pivotArea field="6" grandRow="1" outline="0" collapsedLevelsAreSubtotals="1" axis="axisRow" fieldPosition="0">
        <references count="1">
          <reference field="4294967294" count="1" selected="0">
            <x v="0"/>
          </reference>
        </references>
      </pivotArea>
    </format>
    <format dxfId="58">
      <pivotArea dataOnly="0" labelOnly="1" grandRow="1" outline="0" fieldPosition="0"/>
    </format>
    <format dxfId="57">
      <pivotArea field="6" grandRow="1" outline="0" collapsedLevelsAreSubtotals="1" axis="axisRow" fieldPosition="0">
        <references count="1">
          <reference field="4294967294" count="1" selected="0">
            <x v="1"/>
          </reference>
        </references>
      </pivotArea>
    </format>
    <format dxfId="56">
      <pivotArea field="6" grandRow="1" outline="0" collapsedLevelsAreSubtotals="1" axis="axisRow"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6ADDF57-E1BE-491A-95F9-68C1F606A98C}" name="Payment Method Analysi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PRODUCT CATEGORY">
  <location ref="J31:L36" firstHeaderRow="0" firstDataRow="1" firstDataCol="1"/>
  <pivotFields count="18">
    <pivotField dataField="1" showAll="0"/>
    <pivotField numFmtId="14" showAll="0">
      <items count="2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t="default"/>
      </items>
    </pivotField>
    <pivotField showAll="0"/>
    <pivotField showAll="0"/>
    <pivotField showAll="0"/>
    <pivotField showAll="0"/>
    <pivotField showAll="0" sortType="descending">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showAll="0"/>
    <pivotField showAll="0"/>
    <pivotField numFmtId="165" showAll="0"/>
    <pivotField numFmtId="9" showAll="0"/>
    <pivotField axis="axisRow" showAll="0" sortType="descending">
      <items count="5">
        <item x="2"/>
        <item x="0"/>
        <item x="3"/>
        <item x="1"/>
        <item t="default"/>
      </items>
      <autoSortScope>
        <pivotArea dataOnly="0" outline="0" fieldPosition="0">
          <references count="1">
            <reference field="4294967294" count="1" selected="0">
              <x v="0"/>
            </reference>
          </references>
        </pivotArea>
      </autoSortScope>
    </pivotField>
    <pivotField showAll="0"/>
    <pivotField showAll="0"/>
    <pivotField numFmtId="165" showAll="0"/>
    <pivotField numFmtId="165" showAll="0"/>
    <pivotField dataField="1" numFmtId="165" showAll="0"/>
  </pivotFields>
  <rowFields count="1">
    <field x="12"/>
  </rowFields>
  <rowItems count="5">
    <i>
      <x v="2"/>
    </i>
    <i>
      <x/>
    </i>
    <i>
      <x v="3"/>
    </i>
    <i>
      <x v="1"/>
    </i>
    <i t="grand">
      <x/>
    </i>
  </rowItems>
  <colFields count="1">
    <field x="-2"/>
  </colFields>
  <colItems count="2">
    <i>
      <x/>
    </i>
    <i i="1">
      <x v="1"/>
    </i>
  </colItems>
  <dataFields count="2">
    <dataField name="Sum of Net Sales" fld="17" baseField="7" baseItem="0" numFmtId="165"/>
    <dataField name="ORDERS COUNT" fld="0" subtotal="count" baseField="12" baseItem="0"/>
  </dataFields>
  <formats count="28">
    <format dxfId="123">
      <pivotArea field="7" type="button" dataOnly="0" labelOnly="1" outline="0"/>
    </format>
    <format dxfId="122">
      <pivotArea field="7" type="button" dataOnly="0" labelOnly="1" outline="0"/>
    </format>
    <format dxfId="121">
      <pivotArea dataOnly="0" labelOnly="1" outline="0" fieldPosition="0">
        <references count="1">
          <reference field="4294967294" count="1">
            <x v="0"/>
          </reference>
        </references>
      </pivotArea>
    </format>
    <format dxfId="120">
      <pivotArea dataOnly="0" labelOnly="1" outline="0" fieldPosition="0">
        <references count="1">
          <reference field="4294967294" count="1">
            <x v="0"/>
          </reference>
        </references>
      </pivotArea>
    </format>
    <format dxfId="119">
      <pivotArea dataOnly="0" labelOnly="1" grandRow="1" outline="0" fieldPosition="0"/>
    </format>
    <format dxfId="118">
      <pivotArea field="12" grandRow="1" outline="0" collapsedLevelsAreSubtotals="1" axis="axisRow" fieldPosition="0">
        <references count="1">
          <reference field="4294967294" count="1" selected="0">
            <x v="0"/>
          </reference>
        </references>
      </pivotArea>
    </format>
    <format dxfId="117">
      <pivotArea field="12" grandRow="1" outline="0" collapsedLevelsAreSubtotals="1" axis="axisRow" fieldPosition="0">
        <references count="1">
          <reference field="4294967294" count="1" selected="0">
            <x v="1"/>
          </reference>
        </references>
      </pivotArea>
    </format>
    <format dxfId="116">
      <pivotArea dataOnly="0" labelOnly="1" outline="0" fieldPosition="0">
        <references count="1">
          <reference field="4294967294" count="1">
            <x v="1"/>
          </reference>
        </references>
      </pivotArea>
    </format>
    <format dxfId="115">
      <pivotArea dataOnly="0" labelOnly="1" outline="0" fieldPosition="0">
        <references count="1">
          <reference field="4294967294" count="1">
            <x v="0"/>
          </reference>
        </references>
      </pivotArea>
    </format>
    <format dxfId="114">
      <pivotArea field="12" type="button" dataOnly="0" labelOnly="1" outline="0" axis="axisRow" fieldPosition="0"/>
    </format>
    <format dxfId="113">
      <pivotArea dataOnly="0" labelOnly="1" grandRow="1" outline="0" fieldPosition="0"/>
    </format>
    <format dxfId="112">
      <pivotArea field="12" grandRow="1" outline="0" collapsedLevelsAreSubtotals="1" axis="axisRow" fieldPosition="0">
        <references count="1">
          <reference field="4294967294" count="1" selected="0">
            <x v="0"/>
          </reference>
        </references>
      </pivotArea>
    </format>
    <format dxfId="111">
      <pivotArea field="12" grandRow="1" outline="0" collapsedLevelsAreSubtotals="1" axis="axisRow" fieldPosition="0">
        <references count="1">
          <reference field="4294967294" count="1" selected="0">
            <x v="1"/>
          </reference>
        </references>
      </pivotArea>
    </format>
    <format dxfId="110">
      <pivotArea dataOnly="0" labelOnly="1" outline="0" fieldPosition="0">
        <references count="1">
          <reference field="4294967294" count="1">
            <x v="1"/>
          </reference>
        </references>
      </pivotArea>
    </format>
    <format dxfId="109">
      <pivotArea dataOnly="0" labelOnly="1" outline="0" fieldPosition="0">
        <references count="1">
          <reference field="4294967294" count="1">
            <x v="0"/>
          </reference>
        </references>
      </pivotArea>
    </format>
    <format dxfId="108">
      <pivotArea field="12" type="button" dataOnly="0" labelOnly="1" outline="0" axis="axisRow" fieldPosition="0"/>
    </format>
    <format dxfId="107">
      <pivotArea field="12" type="button" dataOnly="0" labelOnly="1" outline="0" axis="axisRow" fieldPosition="0"/>
    </format>
    <format dxfId="106">
      <pivotArea dataOnly="0" labelOnly="1" outline="0" fieldPosition="0">
        <references count="1">
          <reference field="4294967294" count="1">
            <x v="0"/>
          </reference>
        </references>
      </pivotArea>
    </format>
    <format dxfId="105">
      <pivotArea dataOnly="0" labelOnly="1" outline="0" fieldPosition="0">
        <references count="1">
          <reference field="4294967294" count="1">
            <x v="1"/>
          </reference>
        </references>
      </pivotArea>
    </format>
    <format dxfId="104">
      <pivotArea field="12" grandRow="1" outline="0" collapsedLevelsAreSubtotals="1" axis="axisRow" fieldPosition="0">
        <references count="1">
          <reference field="4294967294" count="1" selected="0">
            <x v="1"/>
          </reference>
        </references>
      </pivotArea>
    </format>
    <format dxfId="103">
      <pivotArea field="12" grandRow="1" outline="0" collapsedLevelsAreSubtotals="1" axis="axisRow" fieldPosition="0">
        <references count="1">
          <reference field="4294967294" count="1" selected="0">
            <x v="0"/>
          </reference>
        </references>
      </pivotArea>
    </format>
    <format dxfId="102">
      <pivotArea dataOnly="0" labelOnly="1" grandRow="1" outline="0" fieldPosition="0"/>
    </format>
    <format dxfId="101">
      <pivotArea field="12" type="button" dataOnly="0" labelOnly="1" outline="0" axis="axisRow" fieldPosition="0"/>
    </format>
    <format dxfId="100">
      <pivotArea dataOnly="0" labelOnly="1" outline="0" fieldPosition="0">
        <references count="1">
          <reference field="4294967294" count="1">
            <x v="0"/>
          </reference>
        </references>
      </pivotArea>
    </format>
    <format dxfId="99">
      <pivotArea dataOnly="0" labelOnly="1" outline="0" fieldPosition="0">
        <references count="1">
          <reference field="4294967294" count="1">
            <x v="1"/>
          </reference>
        </references>
      </pivotArea>
    </format>
    <format dxfId="98">
      <pivotArea field="12" grandRow="1" outline="0" collapsedLevelsAreSubtotals="1" axis="axisRow" fieldPosition="0">
        <references count="1">
          <reference field="4294967294" count="1" selected="0">
            <x v="1"/>
          </reference>
        </references>
      </pivotArea>
    </format>
    <format dxfId="97">
      <pivotArea field="12" grandRow="1" outline="0" collapsedLevelsAreSubtotals="1" axis="axisRow" fieldPosition="0">
        <references count="1">
          <reference field="4294967294" count="1" selected="0">
            <x v="0"/>
          </reference>
        </references>
      </pivotArea>
    </format>
    <format dxfId="96">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66EDC42-AF17-4D3E-802F-9BB831533538}" name="Sales By Region"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rowHeaderCaption="Region">
  <location ref="B27:C32" firstHeaderRow="1" firstDataRow="1" firstDataCol="1"/>
  <pivotFields count="18">
    <pivotField showAll="0"/>
    <pivotField numFmtId="14" showAll="0">
      <items count="2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t="default"/>
      </items>
    </pivotField>
    <pivotField showAll="0"/>
    <pivotField showAll="0">
      <items count="13">
        <item x="3"/>
        <item x="7"/>
        <item x="10"/>
        <item x="8"/>
        <item x="1"/>
        <item x="0"/>
        <item x="4"/>
        <item x="9"/>
        <item x="5"/>
        <item x="11"/>
        <item x="2"/>
        <item x="6"/>
        <item t="default"/>
      </items>
    </pivotField>
    <pivotField axis="axisRow" showAll="0" sortType="descending">
      <items count="5">
        <item x="1"/>
        <item x="0"/>
        <item x="3"/>
        <item x="2"/>
        <item t="default"/>
      </items>
      <autoSortScope>
        <pivotArea dataOnly="0" outline="0" fieldPosition="0">
          <references count="1">
            <reference field="4294967294" count="1" selected="0">
              <x v="0"/>
            </reference>
          </references>
        </pivotArea>
      </autoSortScope>
    </pivotField>
    <pivotField showAll="0"/>
    <pivotField showAll="0">
      <items count="4">
        <item x="0"/>
        <item x="2"/>
        <item x="1"/>
        <item t="default"/>
      </items>
    </pivotField>
    <pivotField showAll="0">
      <items count="4">
        <item x="0"/>
        <item x="1"/>
        <item x="2"/>
        <item t="default"/>
      </items>
    </pivotField>
    <pivotField showAll="0"/>
    <pivotField showAll="0"/>
    <pivotField numFmtId="165" showAll="0"/>
    <pivotField numFmtId="9" showAll="0"/>
    <pivotField showAll="0"/>
    <pivotField showAll="0"/>
    <pivotField showAll="0">
      <items count="3">
        <item x="0"/>
        <item x="1"/>
        <item t="default"/>
      </items>
    </pivotField>
    <pivotField numFmtId="165" showAll="0"/>
    <pivotField numFmtId="165" showAll="0"/>
    <pivotField dataField="1" numFmtId="165" showAll="0"/>
  </pivotFields>
  <rowFields count="1">
    <field x="4"/>
  </rowFields>
  <rowItems count="5">
    <i>
      <x v="2"/>
    </i>
    <i>
      <x v="1"/>
    </i>
    <i>
      <x v="3"/>
    </i>
    <i>
      <x/>
    </i>
    <i t="grand">
      <x/>
    </i>
  </rowItems>
  <colItems count="1">
    <i/>
  </colItems>
  <dataFields count="1">
    <dataField name="Sum of Net Sales" fld="17" baseField="0" baseItem="0" numFmtId="165"/>
  </dataFields>
  <formats count="16">
    <format dxfId="139">
      <pivotArea field="4" type="button" dataOnly="0" labelOnly="1" outline="0" axis="axisRow" fieldPosition="0"/>
    </format>
    <format dxfId="138">
      <pivotArea dataOnly="0" labelOnly="1" outline="0" axis="axisValues" fieldPosition="0"/>
    </format>
    <format dxfId="137">
      <pivotArea dataOnly="0" labelOnly="1" grandRow="1" outline="0" fieldPosition="0"/>
    </format>
    <format dxfId="136">
      <pivotArea grandRow="1" outline="0" collapsedLevelsAreSubtotals="1" fieldPosition="0"/>
    </format>
    <format dxfId="135">
      <pivotArea field="4" type="button" dataOnly="0" labelOnly="1" outline="0" axis="axisRow" fieldPosition="0"/>
    </format>
    <format dxfId="134">
      <pivotArea dataOnly="0" labelOnly="1" outline="0" axis="axisValues" fieldPosition="0"/>
    </format>
    <format dxfId="133">
      <pivotArea dataOnly="0" labelOnly="1" grandRow="1" outline="0" fieldPosition="0"/>
    </format>
    <format dxfId="132">
      <pivotArea grandRow="1" outline="0" collapsedLevelsAreSubtotals="1" fieldPosition="0"/>
    </format>
    <format dxfId="131">
      <pivotArea field="4" type="button" dataOnly="0" labelOnly="1" outline="0" axis="axisRow" fieldPosition="0"/>
    </format>
    <format dxfId="130">
      <pivotArea dataOnly="0" labelOnly="1" outline="0" axis="axisValues" fieldPosition="0"/>
    </format>
    <format dxfId="129">
      <pivotArea grandRow="1" outline="0" collapsedLevelsAreSubtotals="1" fieldPosition="0"/>
    </format>
    <format dxfId="128">
      <pivotArea dataOnly="0" labelOnly="1" grandRow="1" outline="0" fieldPosition="0"/>
    </format>
    <format dxfId="127">
      <pivotArea field="4" type="button" dataOnly="0" labelOnly="1" outline="0" axis="axisRow" fieldPosition="0"/>
    </format>
    <format dxfId="126">
      <pivotArea dataOnly="0" labelOnly="1" outline="0" axis="axisValues" fieldPosition="0"/>
    </format>
    <format dxfId="125">
      <pivotArea grandRow="1" outline="0" collapsedLevelsAreSubtotals="1" fieldPosition="0"/>
    </format>
    <format dxfId="124">
      <pivotArea dataOnly="0" labelOnly="1" grandRow="1" outline="0" fieldPosition="0"/>
    </format>
  </formats>
  <chartFormats count="5">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4" count="1" selected="0">
            <x v="0"/>
          </reference>
        </references>
      </pivotArea>
    </chartFormat>
    <chartFormat chart="6" format="6">
      <pivotArea type="data" outline="0" fieldPosition="0">
        <references count="2">
          <reference field="4294967294" count="1" selected="0">
            <x v="0"/>
          </reference>
          <reference field="4" count="1" selected="0">
            <x v="3"/>
          </reference>
        </references>
      </pivotArea>
    </chartFormat>
    <chartFormat chart="6" format="7">
      <pivotArea type="data" outline="0" fieldPosition="0">
        <references count="2">
          <reference field="4294967294" count="1" selected="0">
            <x v="0"/>
          </reference>
          <reference field="4" count="1" selected="0">
            <x v="1"/>
          </reference>
        </references>
      </pivotArea>
    </chartFormat>
    <chartFormat chart="6" format="8">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7D16159-5BAF-4B0B-8741-5E1094AB224B}" name="PivotTableProduct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7" rowHeaderCaption="PRODUCT">
  <location ref="F90:G96" firstHeaderRow="1" firstDataRow="1" firstDataCol="1"/>
  <pivotFields count="18">
    <pivotField showAll="0"/>
    <pivotField numFmtId="14" showAll="0">
      <items count="2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t="default"/>
      </items>
    </pivotField>
    <pivotField showAll="0"/>
    <pivotField showAll="0">
      <items count="13">
        <item x="3"/>
        <item x="7"/>
        <item x="10"/>
        <item x="8"/>
        <item x="1"/>
        <item x="0"/>
        <item x="4"/>
        <item x="9"/>
        <item x="5"/>
        <item x="11"/>
        <item x="2"/>
        <item x="6"/>
        <item t="default"/>
      </items>
    </pivotField>
    <pivotField showAll="0">
      <items count="5">
        <item x="1"/>
        <item x="0"/>
        <item x="3"/>
        <item x="2"/>
        <item t="default"/>
      </items>
    </pivotField>
    <pivotField showAll="0"/>
    <pivotField showAll="0">
      <items count="4">
        <item x="0"/>
        <item x="2"/>
        <item x="1"/>
        <item t="default"/>
      </items>
    </pivotField>
    <pivotField showAll="0">
      <items count="4">
        <item x="0"/>
        <item x="1"/>
        <item x="2"/>
        <item t="default"/>
      </items>
    </pivotField>
    <pivotField axis="axisRow" showAll="0" measureFilter="1" sortType="descending">
      <items count="20">
        <item x="13"/>
        <item x="2"/>
        <item x="6"/>
        <item x="10"/>
        <item x="17"/>
        <item x="18"/>
        <item x="15"/>
        <item x="3"/>
        <item x="14"/>
        <item x="0"/>
        <item x="9"/>
        <item x="16"/>
        <item x="5"/>
        <item x="8"/>
        <item x="7"/>
        <item x="4"/>
        <item x="12"/>
        <item x="11"/>
        <item x="1"/>
        <item t="default"/>
      </items>
      <autoSortScope>
        <pivotArea dataOnly="0" outline="0" fieldPosition="0">
          <references count="1">
            <reference field="4294967294" count="1" selected="0">
              <x v="0"/>
            </reference>
          </references>
        </pivotArea>
      </autoSortScope>
    </pivotField>
    <pivotField showAll="0"/>
    <pivotField numFmtId="165" showAll="0"/>
    <pivotField numFmtId="9" showAll="0"/>
    <pivotField showAll="0"/>
    <pivotField showAll="0"/>
    <pivotField showAll="0">
      <items count="3">
        <item x="0"/>
        <item x="1"/>
        <item t="default"/>
      </items>
    </pivotField>
    <pivotField numFmtId="165" showAll="0"/>
    <pivotField numFmtId="165" showAll="0"/>
    <pivotField dataField="1" numFmtId="165" showAll="0"/>
  </pivotFields>
  <rowFields count="1">
    <field x="8"/>
  </rowFields>
  <rowItems count="6">
    <i>
      <x v="7"/>
    </i>
    <i>
      <x v="18"/>
    </i>
    <i>
      <x v="3"/>
    </i>
    <i>
      <x v="9"/>
    </i>
    <i>
      <x v="14"/>
    </i>
    <i t="grand">
      <x/>
    </i>
  </rowItems>
  <colItems count="1">
    <i/>
  </colItems>
  <dataFields count="1">
    <dataField name="SUM OF NET SALES" fld="17" baseField="8" baseItem="7" numFmtId="165"/>
  </dataFields>
  <formats count="28">
    <format dxfId="167">
      <pivotArea field="8" type="button" dataOnly="0" labelOnly="1" outline="0" axis="axisRow" fieldPosition="0"/>
    </format>
    <format dxfId="166">
      <pivotArea dataOnly="0" labelOnly="1" grandRow="1" outline="0" fieldPosition="0"/>
    </format>
    <format dxfId="165">
      <pivotArea field="8" grandRow="1" outline="0" collapsedLevelsAreSubtotals="1" axis="axisRow" fieldPosition="0">
        <references count="1">
          <reference field="4294967294" count="1" selected="0">
            <x v="0"/>
          </reference>
        </references>
      </pivotArea>
    </format>
    <format dxfId="164">
      <pivotArea dataOnly="0" labelOnly="1" outline="0" fieldPosition="0">
        <references count="1">
          <reference field="4294967294" count="1">
            <x v="0"/>
          </reference>
        </references>
      </pivotArea>
    </format>
    <format dxfId="163">
      <pivotArea field="8" type="button" dataOnly="0" labelOnly="1" outline="0" axis="axisRow" fieldPosition="0"/>
    </format>
    <format dxfId="162">
      <pivotArea dataOnly="0" labelOnly="1" grandRow="1" outline="0" fieldPosition="0"/>
    </format>
    <format dxfId="161">
      <pivotArea field="8" grandRow="1" outline="0" collapsedLevelsAreSubtotals="1" axis="axisRow" fieldPosition="0">
        <references count="1">
          <reference field="4294967294" count="1" selected="0">
            <x v="0"/>
          </reference>
        </references>
      </pivotArea>
    </format>
    <format dxfId="160">
      <pivotArea dataOnly="0" labelOnly="1" outline="0" fieldPosition="0">
        <references count="1">
          <reference field="4294967294" count="1">
            <x v="0"/>
          </reference>
        </references>
      </pivotArea>
    </format>
    <format dxfId="159">
      <pivotArea field="8" type="button" dataOnly="0" labelOnly="1" outline="0" axis="axisRow" fieldPosition="0"/>
    </format>
    <format dxfId="158">
      <pivotArea dataOnly="0" labelOnly="1" outline="0" fieldPosition="0">
        <references count="1">
          <reference field="4294967294" count="1">
            <x v="0"/>
          </reference>
        </references>
      </pivotArea>
    </format>
    <format dxfId="157">
      <pivotArea field="8" grandRow="1" outline="0" collapsedLevelsAreSubtotals="1" axis="axisRow" fieldPosition="0">
        <references count="1">
          <reference field="4294967294" count="1" selected="0">
            <x v="0"/>
          </reference>
        </references>
      </pivotArea>
    </format>
    <format dxfId="156">
      <pivotArea dataOnly="0" labelOnly="1" grandRow="1" outline="0" fieldPosition="0"/>
    </format>
    <format dxfId="155">
      <pivotArea field="8" type="button" dataOnly="0" labelOnly="1" outline="0" axis="axisRow" fieldPosition="0"/>
    </format>
    <format dxfId="154">
      <pivotArea dataOnly="0" labelOnly="1" outline="0" fieldPosition="0">
        <references count="1">
          <reference field="4294967294" count="1">
            <x v="0"/>
          </reference>
        </references>
      </pivotArea>
    </format>
    <format dxfId="153">
      <pivotArea field="8" grandRow="1" outline="0" collapsedLevelsAreSubtotals="1" axis="axisRow" fieldPosition="0">
        <references count="1">
          <reference field="4294967294" count="1" selected="0">
            <x v="0"/>
          </reference>
        </references>
      </pivotArea>
    </format>
    <format dxfId="152">
      <pivotArea dataOnly="0" labelOnly="1" grandRow="1" outline="0" fieldPosition="0"/>
    </format>
    <format dxfId="151">
      <pivotArea type="all" dataOnly="0" outline="0" fieldPosition="0"/>
    </format>
    <format dxfId="150">
      <pivotArea outline="0" collapsedLevelsAreSubtotals="1" fieldPosition="0"/>
    </format>
    <format dxfId="149">
      <pivotArea field="8" type="button" dataOnly="0" labelOnly="1" outline="0" axis="axisRow" fieldPosition="0"/>
    </format>
    <format dxfId="148">
      <pivotArea dataOnly="0" labelOnly="1" fieldPosition="0">
        <references count="1">
          <reference field="8" count="5">
            <x v="3"/>
            <x v="7"/>
            <x v="9"/>
            <x v="14"/>
            <x v="18"/>
          </reference>
        </references>
      </pivotArea>
    </format>
    <format dxfId="147">
      <pivotArea dataOnly="0" labelOnly="1" grandRow="1" outline="0" fieldPosition="0"/>
    </format>
    <format dxfId="146">
      <pivotArea dataOnly="0" labelOnly="1" outline="0" axis="axisValues" fieldPosition="0"/>
    </format>
    <format dxfId="145">
      <pivotArea type="all" dataOnly="0" outline="0" fieldPosition="0"/>
    </format>
    <format dxfId="144">
      <pivotArea outline="0" collapsedLevelsAreSubtotals="1" fieldPosition="0"/>
    </format>
    <format dxfId="143">
      <pivotArea field="8" type="button" dataOnly="0" labelOnly="1" outline="0" axis="axisRow" fieldPosition="0"/>
    </format>
    <format dxfId="142">
      <pivotArea dataOnly="0" labelOnly="1" fieldPosition="0">
        <references count="1">
          <reference field="8" count="5">
            <x v="3"/>
            <x v="7"/>
            <x v="9"/>
            <x v="14"/>
            <x v="18"/>
          </reference>
        </references>
      </pivotArea>
    </format>
    <format dxfId="141">
      <pivotArea dataOnly="0" labelOnly="1" grandRow="1" outline="0" fieldPosition="0"/>
    </format>
    <format dxfId="140">
      <pivotArea dataOnly="0" labelOnly="1" outline="0" axis="axisValues" fieldPosition="0"/>
    </format>
  </formats>
  <chartFormats count="6">
    <chartFormat chart="6" format="15" series="1">
      <pivotArea type="data" outline="0" fieldPosition="0">
        <references count="1">
          <reference field="4294967294" count="1" selected="0">
            <x v="0"/>
          </reference>
        </references>
      </pivotArea>
    </chartFormat>
    <chartFormat chart="6" format="16">
      <pivotArea type="data" outline="0" fieldPosition="0">
        <references count="2">
          <reference field="4294967294" count="1" selected="0">
            <x v="0"/>
          </reference>
          <reference field="8" count="1" selected="0">
            <x v="7"/>
          </reference>
        </references>
      </pivotArea>
    </chartFormat>
    <chartFormat chart="7"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CBFF063-4FD7-45B7-94C2-DE6C5C395874}" name="PivotTableProductCategory"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rowHeaderCaption="Category">
  <location ref="B88:C92" firstHeaderRow="1" firstDataRow="1" firstDataCol="1"/>
  <pivotFields count="18">
    <pivotField showAll="0"/>
    <pivotField numFmtId="14" showAll="0">
      <items count="2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t="default"/>
      </items>
    </pivotField>
    <pivotField showAll="0"/>
    <pivotField showAll="0">
      <items count="13">
        <item x="3"/>
        <item x="7"/>
        <item x="10"/>
        <item x="8"/>
        <item x="1"/>
        <item x="0"/>
        <item x="4"/>
        <item x="9"/>
        <item x="5"/>
        <item x="11"/>
        <item x="2"/>
        <item x="6"/>
        <item t="default"/>
      </items>
    </pivotField>
    <pivotField showAll="0">
      <items count="5">
        <item x="1"/>
        <item x="0"/>
        <item x="3"/>
        <item x="2"/>
        <item t="default"/>
      </items>
    </pivotField>
    <pivotField showAll="0"/>
    <pivotField showAll="0">
      <items count="4">
        <item x="0"/>
        <item x="2"/>
        <item x="1"/>
        <item t="default"/>
      </items>
    </pivotField>
    <pivotField axis="axisRow" showAll="0">
      <items count="4">
        <item x="0"/>
        <item x="1"/>
        <item x="2"/>
        <item t="default"/>
      </items>
    </pivotField>
    <pivotField showAll="0"/>
    <pivotField showAll="0"/>
    <pivotField numFmtId="165" showAll="0"/>
    <pivotField numFmtId="9" showAll="0"/>
    <pivotField showAll="0"/>
    <pivotField showAll="0"/>
    <pivotField showAll="0">
      <items count="3">
        <item x="0"/>
        <item x="1"/>
        <item t="default"/>
      </items>
    </pivotField>
    <pivotField numFmtId="165" showAll="0"/>
    <pivotField numFmtId="165" showAll="0"/>
    <pivotField dataField="1" numFmtId="165" showAll="0"/>
  </pivotFields>
  <rowFields count="1">
    <field x="7"/>
  </rowFields>
  <rowItems count="4">
    <i>
      <x/>
    </i>
    <i>
      <x v="1"/>
    </i>
    <i>
      <x v="2"/>
    </i>
    <i t="grand">
      <x/>
    </i>
  </rowItems>
  <colItems count="1">
    <i/>
  </colItems>
  <dataFields count="1">
    <dataField name="Sum of Net Sales" fld="17" baseField="7" baseItem="0" numFmtId="165"/>
  </dataFields>
  <formats count="32">
    <format dxfId="199">
      <pivotArea field="7" type="button" dataOnly="0" labelOnly="1" outline="0" axis="axisRow" fieldPosition="0"/>
    </format>
    <format dxfId="198">
      <pivotArea field="7" type="button" dataOnly="0" labelOnly="1" outline="0" axis="axisRow" fieldPosition="0"/>
    </format>
    <format dxfId="197">
      <pivotArea dataOnly="0" labelOnly="1" outline="0" fieldPosition="0">
        <references count="1">
          <reference field="4294967294" count="1">
            <x v="0"/>
          </reference>
        </references>
      </pivotArea>
    </format>
    <format dxfId="196">
      <pivotArea dataOnly="0" labelOnly="1" outline="0" fieldPosition="0">
        <references count="1">
          <reference field="4294967294" count="1">
            <x v="0"/>
          </reference>
        </references>
      </pivotArea>
    </format>
    <format dxfId="195">
      <pivotArea dataOnly="0" labelOnly="1" grandRow="1" outline="0" fieldPosition="0"/>
    </format>
    <format dxfId="194">
      <pivotArea field="7" grandRow="1" outline="0" collapsedLevelsAreSubtotals="1" axis="axisRow" fieldPosition="0">
        <references count="1">
          <reference field="4294967294" count="1" selected="0">
            <x v="0"/>
          </reference>
        </references>
      </pivotArea>
    </format>
    <format dxfId="193">
      <pivotArea dataOnly="0" labelOnly="1" outline="0" fieldPosition="0">
        <references count="1">
          <reference field="4294967294" count="1">
            <x v="0"/>
          </reference>
        </references>
      </pivotArea>
    </format>
    <format dxfId="192">
      <pivotArea field="7" type="button" dataOnly="0" labelOnly="1" outline="0" axis="axisRow" fieldPosition="0"/>
    </format>
    <format dxfId="191">
      <pivotArea dataOnly="0" labelOnly="1" grandRow="1" outline="0" fieldPosition="0"/>
    </format>
    <format dxfId="190">
      <pivotArea field="7" grandRow="1" outline="0" collapsedLevelsAreSubtotals="1" axis="axisRow" fieldPosition="0">
        <references count="1">
          <reference field="4294967294" count="1" selected="0">
            <x v="0"/>
          </reference>
        </references>
      </pivotArea>
    </format>
    <format dxfId="189">
      <pivotArea dataOnly="0" labelOnly="1" outline="0" fieldPosition="0">
        <references count="1">
          <reference field="4294967294" count="1">
            <x v="0"/>
          </reference>
        </references>
      </pivotArea>
    </format>
    <format dxfId="188">
      <pivotArea field="7" type="button" dataOnly="0" labelOnly="1" outline="0" axis="axisRow" fieldPosition="0"/>
    </format>
    <format dxfId="187">
      <pivotArea field="7" type="button" dataOnly="0" labelOnly="1" outline="0" axis="axisRow" fieldPosition="0"/>
    </format>
    <format dxfId="186">
      <pivotArea dataOnly="0" labelOnly="1" outline="0" fieldPosition="0">
        <references count="1">
          <reference field="4294967294" count="1">
            <x v="0"/>
          </reference>
        </references>
      </pivotArea>
    </format>
    <format dxfId="185">
      <pivotArea field="7" grandRow="1" outline="0" collapsedLevelsAreSubtotals="1" axis="axisRow" fieldPosition="0">
        <references count="1">
          <reference field="4294967294" count="1" selected="0">
            <x v="0"/>
          </reference>
        </references>
      </pivotArea>
    </format>
    <format dxfId="184">
      <pivotArea dataOnly="0" labelOnly="1" grandRow="1" outline="0" fieldPosition="0"/>
    </format>
    <format dxfId="183">
      <pivotArea field="7" type="button" dataOnly="0" labelOnly="1" outline="0" axis="axisRow" fieldPosition="0"/>
    </format>
    <format dxfId="182">
      <pivotArea dataOnly="0" labelOnly="1" outline="0" fieldPosition="0">
        <references count="1">
          <reference field="4294967294" count="1">
            <x v="0"/>
          </reference>
        </references>
      </pivotArea>
    </format>
    <format dxfId="181">
      <pivotArea field="7" grandRow="1" outline="0" collapsedLevelsAreSubtotals="1" axis="axisRow" fieldPosition="0">
        <references count="1">
          <reference field="4294967294" count="1" selected="0">
            <x v="0"/>
          </reference>
        </references>
      </pivotArea>
    </format>
    <format dxfId="180">
      <pivotArea dataOnly="0" labelOnly="1" grandRow="1" outline="0" fieldPosition="0"/>
    </format>
    <format dxfId="179">
      <pivotArea type="all" dataOnly="0" outline="0" fieldPosition="0"/>
    </format>
    <format dxfId="178">
      <pivotArea outline="0" collapsedLevelsAreSubtotals="1" fieldPosition="0"/>
    </format>
    <format dxfId="177">
      <pivotArea field="7" type="button" dataOnly="0" labelOnly="1" outline="0" axis="axisRow" fieldPosition="0"/>
    </format>
    <format dxfId="176">
      <pivotArea dataOnly="0" labelOnly="1" fieldPosition="0">
        <references count="1">
          <reference field="7" count="0"/>
        </references>
      </pivotArea>
    </format>
    <format dxfId="175">
      <pivotArea dataOnly="0" labelOnly="1" grandRow="1" outline="0" fieldPosition="0"/>
    </format>
    <format dxfId="174">
      <pivotArea dataOnly="0" labelOnly="1" outline="0" axis="axisValues" fieldPosition="0"/>
    </format>
    <format dxfId="173">
      <pivotArea type="all" dataOnly="0" outline="0" fieldPosition="0"/>
    </format>
    <format dxfId="172">
      <pivotArea outline="0" collapsedLevelsAreSubtotals="1" fieldPosition="0"/>
    </format>
    <format dxfId="171">
      <pivotArea field="7" type="button" dataOnly="0" labelOnly="1" outline="0" axis="axisRow" fieldPosition="0"/>
    </format>
    <format dxfId="170">
      <pivotArea dataOnly="0" labelOnly="1" fieldPosition="0">
        <references count="1">
          <reference field="7" count="0"/>
        </references>
      </pivotArea>
    </format>
    <format dxfId="169">
      <pivotArea dataOnly="0" labelOnly="1" grandRow="1" outline="0" fieldPosition="0"/>
    </format>
    <format dxfId="168">
      <pivotArea dataOnly="0" labelOnly="1" outline="0" axis="axisValues" fieldPosition="0"/>
    </format>
  </formats>
  <chartFormats count="6">
    <chartFormat chart="9" format="18" series="1">
      <pivotArea type="data" outline="0" fieldPosition="0">
        <references count="1">
          <reference field="4294967294" count="1" selected="0">
            <x v="0"/>
          </reference>
        </references>
      </pivotArea>
    </chartFormat>
    <chartFormat chart="9" format="19">
      <pivotArea type="data" outline="0" fieldPosition="0">
        <references count="2">
          <reference field="4294967294" count="1" selected="0">
            <x v="0"/>
          </reference>
          <reference field="7" count="1" selected="0">
            <x v="0"/>
          </reference>
        </references>
      </pivotArea>
    </chartFormat>
    <chartFormat chart="9" format="20">
      <pivotArea type="data" outline="0" fieldPosition="0">
        <references count="2">
          <reference field="4294967294" count="1" selected="0">
            <x v="0"/>
          </reference>
          <reference field="7" count="1" selected="0">
            <x v="1"/>
          </reference>
        </references>
      </pivotArea>
    </chartFormat>
    <chartFormat chart="9" format="21">
      <pivotArea type="data" outline="0" fieldPosition="0">
        <references count="2">
          <reference field="4294967294" count="1" selected="0">
            <x v="0"/>
          </reference>
          <reference field="7" count="1" selected="0">
            <x v="2"/>
          </reference>
        </references>
      </pivotArea>
    </chartFormat>
    <chartFormat chart="10"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5446EED-6065-4497-9D66-2F344DEA8273}" name="Net Sales By Month"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rowHeaderCaption="Month">
  <location ref="B4:C22" firstHeaderRow="1" firstDataRow="1" firstDataCol="1"/>
  <pivotFields count="18">
    <pivotField showAll="0"/>
    <pivotField numFmtId="14" showAll="0">
      <items count="2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t="default"/>
      </items>
    </pivotField>
    <pivotField axis="axisRow" showAll="0">
      <items count="13">
        <item x="0"/>
        <item x="1"/>
        <item x="2"/>
        <item x="3"/>
        <item x="4"/>
        <item x="5"/>
        <item x="6"/>
        <item x="7"/>
        <item x="8"/>
        <item x="9"/>
        <item x="10"/>
        <item x="11"/>
        <item t="default"/>
      </items>
    </pivotField>
    <pivotField showAll="0">
      <items count="13">
        <item x="3"/>
        <item x="7"/>
        <item x="10"/>
        <item x="8"/>
        <item x="1"/>
        <item x="0"/>
        <item x="4"/>
        <item x="9"/>
        <item x="5"/>
        <item x="11"/>
        <item x="2"/>
        <item x="6"/>
        <item t="default"/>
      </items>
    </pivotField>
    <pivotField showAll="0">
      <items count="5">
        <item x="1"/>
        <item x="0"/>
        <item x="3"/>
        <item x="2"/>
        <item t="default"/>
      </items>
    </pivotField>
    <pivotField showAll="0"/>
    <pivotField showAll="0">
      <items count="4">
        <item x="0"/>
        <item x="2"/>
        <item x="1"/>
        <item t="default"/>
      </items>
    </pivotField>
    <pivotField showAll="0">
      <items count="4">
        <item x="0"/>
        <item x="1"/>
        <item x="2"/>
        <item t="default"/>
      </items>
    </pivotField>
    <pivotField showAll="0"/>
    <pivotField showAll="0"/>
    <pivotField numFmtId="165" showAll="0"/>
    <pivotField numFmtId="9" showAll="0"/>
    <pivotField showAll="0"/>
    <pivotField showAll="0"/>
    <pivotField axis="axisRow" showAll="0">
      <items count="3">
        <item x="0"/>
        <item x="1"/>
        <item t="default"/>
      </items>
    </pivotField>
    <pivotField numFmtId="165" showAll="0"/>
    <pivotField numFmtId="165" showAll="0"/>
    <pivotField dataField="1" numFmtId="165" showAll="0"/>
  </pivotFields>
  <rowFields count="2">
    <field x="14"/>
    <field x="2"/>
  </rowFields>
  <rowItems count="18">
    <i>
      <x/>
    </i>
    <i r="1">
      <x/>
    </i>
    <i r="1">
      <x v="1"/>
    </i>
    <i r="1">
      <x v="2"/>
    </i>
    <i r="1">
      <x v="3"/>
    </i>
    <i r="1">
      <x v="4"/>
    </i>
    <i r="1">
      <x v="5"/>
    </i>
    <i r="1">
      <x v="6"/>
    </i>
    <i r="1">
      <x v="7"/>
    </i>
    <i r="1">
      <x v="8"/>
    </i>
    <i r="1">
      <x v="9"/>
    </i>
    <i r="1">
      <x v="10"/>
    </i>
    <i r="1">
      <x v="11"/>
    </i>
    <i>
      <x v="1"/>
    </i>
    <i r="1">
      <x/>
    </i>
    <i r="1">
      <x v="1"/>
    </i>
    <i r="1">
      <x v="2"/>
    </i>
    <i t="grand">
      <x/>
    </i>
  </rowItems>
  <colItems count="1">
    <i/>
  </colItems>
  <dataFields count="1">
    <dataField name="Sum of Net Sales" fld="17" baseField="0" baseItem="0" numFmtId="165"/>
  </dataFields>
  <formats count="38">
    <format dxfId="237">
      <pivotArea field="14" type="button" dataOnly="0" labelOnly="1" outline="0" axis="axisRow" fieldPosition="0"/>
    </format>
    <format dxfId="236">
      <pivotArea dataOnly="0" outline="0" axis="axisValues" fieldPosition="0"/>
    </format>
    <format dxfId="235">
      <pivotArea field="14" type="button" dataOnly="0" labelOnly="1" outline="0" axis="axisRow" fieldPosition="0"/>
    </format>
    <format dxfId="234">
      <pivotArea dataOnly="0" labelOnly="1" grandRow="1" outline="0" fieldPosition="0"/>
    </format>
    <format dxfId="233">
      <pivotArea grandRow="1" outline="0" collapsedLevelsAreSubtotals="1" fieldPosition="0"/>
    </format>
    <format dxfId="232">
      <pivotArea dataOnly="0" labelOnly="1" grandRow="1" outline="0" fieldPosition="0"/>
    </format>
    <format dxfId="231">
      <pivotArea grandRow="1" outline="0" collapsedLevelsAreSubtotals="1" fieldPosition="0"/>
    </format>
    <format dxfId="230">
      <pivotArea dataOnly="0" labelOnly="1" outline="0" axis="axisValues" fieldPosition="0"/>
    </format>
    <format dxfId="229">
      <pivotArea field="14" type="button" dataOnly="0" labelOnly="1" outline="0" axis="axisRow" fieldPosition="0"/>
    </format>
    <format dxfId="228">
      <pivotArea dataOnly="0" labelOnly="1" outline="0" axis="axisValues" fieldPosition="0"/>
    </format>
    <format dxfId="227">
      <pivotArea field="14" type="button" dataOnly="0" labelOnly="1" outline="0" axis="axisRow" fieldPosition="0"/>
    </format>
    <format dxfId="226">
      <pivotArea dataOnly="0" labelOnly="1" outline="0" axis="axisValues" fieldPosition="0"/>
    </format>
    <format dxfId="225">
      <pivotArea field="14" type="button" dataOnly="0" labelOnly="1" outline="0" axis="axisRow" fieldPosition="0"/>
    </format>
    <format dxfId="224">
      <pivotArea dataOnly="0" labelOnly="1" outline="0" axis="axisValues" fieldPosition="0"/>
    </format>
    <format dxfId="223">
      <pivotArea dataOnly="0" labelOnly="1" outline="0" axis="axisValues" fieldPosition="0"/>
    </format>
    <format dxfId="222">
      <pivotArea field="14" type="button" dataOnly="0" labelOnly="1" outline="0" axis="axisRow" fieldPosition="0"/>
    </format>
    <format dxfId="221">
      <pivotArea collapsedLevelsAreSubtotals="1" fieldPosition="0">
        <references count="2">
          <reference field="2" count="1">
            <x v="3"/>
          </reference>
          <reference field="14" count="1" selected="0">
            <x v="0"/>
          </reference>
        </references>
      </pivotArea>
    </format>
    <format dxfId="220">
      <pivotArea field="14" type="button" dataOnly="0" labelOnly="1" outline="0" axis="axisRow" fieldPosition="0"/>
    </format>
    <format dxfId="219">
      <pivotArea dataOnly="0" labelOnly="1" outline="0" axis="axisValues" fieldPosition="0"/>
    </format>
    <format dxfId="218">
      <pivotArea collapsedLevelsAreSubtotals="1" fieldPosition="0">
        <references count="2">
          <reference field="2" count="1">
            <x v="3"/>
          </reference>
          <reference field="14" count="1" selected="0">
            <x v="0"/>
          </reference>
        </references>
      </pivotArea>
    </format>
    <format dxfId="217">
      <pivotArea field="14" type="button" dataOnly="0" labelOnly="1" outline="0" axis="axisRow" fieldPosition="0"/>
    </format>
    <format dxfId="216">
      <pivotArea dataOnly="0" labelOnly="1" outline="0" axis="axisValues" fieldPosition="0"/>
    </format>
    <format dxfId="215">
      <pivotArea collapsedLevelsAreSubtotals="1" fieldPosition="0">
        <references count="2">
          <reference field="2" count="1">
            <x v="3"/>
          </reference>
          <reference field="14" count="1" selected="0">
            <x v="0"/>
          </reference>
        </references>
      </pivotArea>
    </format>
    <format dxfId="214">
      <pivotArea collapsedLevelsAreSubtotals="1" fieldPosition="0">
        <references count="2">
          <reference field="2" count="1">
            <x v="3"/>
          </reference>
          <reference field="14" count="1" selected="0">
            <x v="0"/>
          </reference>
        </references>
      </pivotArea>
    </format>
    <format dxfId="213">
      <pivotArea collapsedLevelsAreSubtotals="1" fieldPosition="0">
        <references count="2">
          <reference field="2" count="1">
            <x v="3"/>
          </reference>
          <reference field="14" count="1" selected="0">
            <x v="0"/>
          </reference>
        </references>
      </pivotArea>
    </format>
    <format dxfId="212">
      <pivotArea collapsedLevelsAreSubtotals="1" fieldPosition="0">
        <references count="2">
          <reference field="2" count="1">
            <x v="4"/>
          </reference>
          <reference field="14" count="1" selected="0">
            <x v="0"/>
          </reference>
        </references>
      </pivotArea>
    </format>
    <format dxfId="211">
      <pivotArea dataOnly="0" labelOnly="1" grandRow="1" outline="0" fieldPosition="0"/>
    </format>
    <format dxfId="210">
      <pivotArea grandRow="1" outline="0" collapsedLevelsAreSubtotals="1" fieldPosition="0"/>
    </format>
    <format dxfId="209">
      <pivotArea dataOnly="0" labelOnly="1" grandRow="1" outline="0" fieldPosition="0"/>
    </format>
    <format dxfId="208">
      <pivotArea grandRow="1" outline="0" collapsedLevelsAreSubtotals="1" fieldPosition="0"/>
    </format>
    <format dxfId="207">
      <pivotArea type="all" dataOnly="0" outline="0" fieldPosition="0"/>
    </format>
    <format dxfId="206">
      <pivotArea outline="0" collapsedLevelsAreSubtotals="1" fieldPosition="0"/>
    </format>
    <format dxfId="205">
      <pivotArea field="14" type="button" dataOnly="0" labelOnly="1" outline="0" axis="axisRow" fieldPosition="0"/>
    </format>
    <format dxfId="204">
      <pivotArea dataOnly="0" labelOnly="1" fieldPosition="0">
        <references count="1">
          <reference field="14" count="0"/>
        </references>
      </pivotArea>
    </format>
    <format dxfId="203">
      <pivotArea dataOnly="0" labelOnly="1" grandRow="1" outline="0" fieldPosition="0"/>
    </format>
    <format dxfId="202">
      <pivotArea dataOnly="0" labelOnly="1" fieldPosition="0">
        <references count="2">
          <reference field="2" count="0"/>
          <reference field="14" count="1" selected="0">
            <x v="0"/>
          </reference>
        </references>
      </pivotArea>
    </format>
    <format dxfId="201">
      <pivotArea dataOnly="0" labelOnly="1" fieldPosition="0">
        <references count="2">
          <reference field="2" count="3">
            <x v="0"/>
            <x v="1"/>
            <x v="2"/>
          </reference>
          <reference field="14" count="1" selected="0">
            <x v="1"/>
          </reference>
        </references>
      </pivotArea>
    </format>
    <format dxfId="200">
      <pivotArea dataOnly="0" labelOnly="1" outline="0" axis="axisValues" fieldPosition="0"/>
    </format>
  </formats>
  <chartFormats count="4">
    <chartFormat chart="6" format="12" series="1">
      <pivotArea type="data" outline="0" fieldPosition="0">
        <references count="1">
          <reference field="4294967294" count="1" selected="0">
            <x v="0"/>
          </reference>
        </references>
      </pivotArea>
    </chartFormat>
    <chartFormat chart="6" format="13">
      <pivotArea type="data" outline="0" fieldPosition="0">
        <references count="3">
          <reference field="4294967294" count="1" selected="0">
            <x v="0"/>
          </reference>
          <reference field="2" count="1" selected="0">
            <x v="4"/>
          </reference>
          <reference field="14" count="1" selected="0">
            <x v="0"/>
          </reference>
        </references>
      </pivotArea>
    </chartFormat>
    <chartFormat chart="6" format="14">
      <pivotArea type="data" outline="0" fieldPosition="0">
        <references count="3">
          <reference field="4294967294" count="1" selected="0">
            <x v="0"/>
          </reference>
          <reference field="2" count="1" selected="0">
            <x v="8"/>
          </reference>
          <reference field="14" count="1" selected="0">
            <x v="0"/>
          </reference>
        </references>
      </pivotArea>
    </chartFormat>
    <chartFormat chart="6" format="15">
      <pivotArea type="data" outline="0" fieldPosition="0">
        <references count="3">
          <reference field="4294967294" count="1" selected="0">
            <x v="0"/>
          </reference>
          <reference field="2" count="1" selected="0">
            <x v="1"/>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C850C2F-79FB-4E92-9844-7E20E35AB04A}" name="Salesperson Performance" cacheId="0" applyNumberFormats="0" applyBorderFormats="0" applyFontFormats="0" applyPatternFormats="0" applyAlignmentFormats="0" applyWidthHeightFormats="1" dataCaption="Values" updatedVersion="8" minRefreshableVersion="5" itemPrintTitles="1" createdVersion="8" indent="0" outline="1" outlineData="1" multipleFieldFilters="0" rowHeaderCaption="Salesperson">
  <location ref="E4:H17" firstHeaderRow="0" firstDataRow="1" firstDataCol="1"/>
  <pivotFields count="18">
    <pivotField dataField="1" showAll="0"/>
    <pivotField numFmtId="14" showAll="0">
      <items count="2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t="default"/>
      </items>
    </pivotField>
    <pivotField showAll="0"/>
    <pivotField axis="axisRow" showAll="0" sortType="descending">
      <items count="13">
        <item x="3"/>
        <item x="7"/>
        <item x="10"/>
        <item x="8"/>
        <item x="1"/>
        <item x="0"/>
        <item x="4"/>
        <item x="9"/>
        <item x="5"/>
        <item x="11"/>
        <item x="2"/>
        <item x="6"/>
        <item t="default"/>
      </items>
      <autoSortScope>
        <pivotArea dataOnly="0" outline="0" fieldPosition="0">
          <references count="1">
            <reference field="4294967294" count="1" selected="0">
              <x v="0"/>
            </reference>
          </references>
        </pivotArea>
      </autoSortScope>
    </pivotField>
    <pivotField showAll="0">
      <items count="5">
        <item x="1"/>
        <item x="0"/>
        <item x="3"/>
        <item x="2"/>
        <item t="default"/>
      </items>
    </pivotField>
    <pivotField showAll="0"/>
    <pivotField showAll="0">
      <items count="4">
        <item x="0"/>
        <item x="2"/>
        <item x="1"/>
        <item t="default"/>
      </items>
    </pivotField>
    <pivotField showAll="0">
      <items count="4">
        <item x="0"/>
        <item x="1"/>
        <item x="2"/>
        <item t="default"/>
      </items>
    </pivotField>
    <pivotField showAll="0"/>
    <pivotField showAll="0"/>
    <pivotField numFmtId="165" showAll="0"/>
    <pivotField numFmtId="9" showAll="0"/>
    <pivotField showAll="0"/>
    <pivotField showAll="0"/>
    <pivotField showAll="0">
      <items count="3">
        <item x="0"/>
        <item x="1"/>
        <item t="default"/>
      </items>
    </pivotField>
    <pivotField numFmtId="165" showAll="0"/>
    <pivotField numFmtId="165" showAll="0"/>
    <pivotField dataField="1" numFmtId="165" showAll="0"/>
  </pivotFields>
  <rowFields count="1">
    <field x="3"/>
  </rowFields>
  <rowItems count="13">
    <i>
      <x v="3"/>
    </i>
    <i>
      <x v="6"/>
    </i>
    <i>
      <x v="11"/>
    </i>
    <i>
      <x v="2"/>
    </i>
    <i>
      <x v="8"/>
    </i>
    <i>
      <x/>
    </i>
    <i>
      <x v="9"/>
    </i>
    <i>
      <x v="1"/>
    </i>
    <i>
      <x v="10"/>
    </i>
    <i>
      <x v="7"/>
    </i>
    <i>
      <x v="4"/>
    </i>
    <i>
      <x v="5"/>
    </i>
    <i t="grand">
      <x/>
    </i>
  </rowItems>
  <colFields count="1">
    <field x="-2"/>
  </colFields>
  <colItems count="3">
    <i>
      <x/>
    </i>
    <i i="1">
      <x v="1"/>
    </i>
    <i i="2">
      <x v="2"/>
    </i>
  </colItems>
  <dataFields count="3">
    <dataField name="Sum of Net Sales" fld="17" baseField="0" baseItem="0" numFmtId="165"/>
    <dataField name="Orders Count" fld="0" subtotal="count" baseField="3" baseItem="1"/>
    <dataField name="Avg. Order Value" fld="17" subtotal="average" baseField="3" baseItem="1" numFmtId="165"/>
  </dataFields>
  <formats count="32">
    <format dxfId="269">
      <pivotArea field="3" type="button" dataOnly="0" labelOnly="1" outline="0" axis="axisRow" fieldPosition="0"/>
    </format>
    <format dxfId="268">
      <pivotArea dataOnly="0" labelOnly="1" outline="0" fieldPosition="0">
        <references count="1">
          <reference field="4294967294" count="1">
            <x v="0"/>
          </reference>
        </references>
      </pivotArea>
    </format>
    <format dxfId="267">
      <pivotArea dataOnly="0" labelOnly="1" outline="0" fieldPosition="0">
        <references count="1">
          <reference field="4294967294" count="1">
            <x v="1"/>
          </reference>
        </references>
      </pivotArea>
    </format>
    <format dxfId="266">
      <pivotArea dataOnly="0" labelOnly="1" outline="0" fieldPosition="0">
        <references count="1">
          <reference field="4294967294" count="1">
            <x v="2"/>
          </reference>
        </references>
      </pivotArea>
    </format>
    <format dxfId="265">
      <pivotArea field="3" grandRow="1" outline="0" collapsedLevelsAreSubtotals="1" axis="axisRow" fieldPosition="0">
        <references count="1">
          <reference field="4294967294" count="1" selected="0">
            <x v="2"/>
          </reference>
        </references>
      </pivotArea>
    </format>
    <format dxfId="264">
      <pivotArea field="3" grandRow="1" outline="0" collapsedLevelsAreSubtotals="1" axis="axisRow" fieldPosition="0">
        <references count="1">
          <reference field="4294967294" count="1" selected="0">
            <x v="1"/>
          </reference>
        </references>
      </pivotArea>
    </format>
    <format dxfId="263">
      <pivotArea field="3" grandRow="1" outline="0" collapsedLevelsAreSubtotals="1" axis="axisRow" fieldPosition="0">
        <references count="1">
          <reference field="4294967294" count="1" selected="0">
            <x v="0"/>
          </reference>
        </references>
      </pivotArea>
    </format>
    <format dxfId="262">
      <pivotArea dataOnly="0" labelOnly="1" grandRow="1" outline="0" fieldPosition="0"/>
    </format>
    <format dxfId="261">
      <pivotArea field="3" type="button" dataOnly="0" labelOnly="1" outline="0" axis="axisRow" fieldPosition="0"/>
    </format>
    <format dxfId="260">
      <pivotArea dataOnly="0" labelOnly="1" outline="0" fieldPosition="0">
        <references count="1">
          <reference field="4294967294" count="1">
            <x v="0"/>
          </reference>
        </references>
      </pivotArea>
    </format>
    <format dxfId="259">
      <pivotArea dataOnly="0" labelOnly="1" outline="0" fieldPosition="0">
        <references count="1">
          <reference field="4294967294" count="1">
            <x v="1"/>
          </reference>
        </references>
      </pivotArea>
    </format>
    <format dxfId="258">
      <pivotArea dataOnly="0" labelOnly="1" outline="0" fieldPosition="0">
        <references count="1">
          <reference field="4294967294" count="1">
            <x v="2"/>
          </reference>
        </references>
      </pivotArea>
    </format>
    <format dxfId="257">
      <pivotArea field="3" grandRow="1" outline="0" collapsedLevelsAreSubtotals="1" axis="axisRow" fieldPosition="0">
        <references count="1">
          <reference field="4294967294" count="1" selected="0">
            <x v="2"/>
          </reference>
        </references>
      </pivotArea>
    </format>
    <format dxfId="256">
      <pivotArea field="3" grandRow="1" outline="0" collapsedLevelsAreSubtotals="1" axis="axisRow" fieldPosition="0">
        <references count="1">
          <reference field="4294967294" count="1" selected="0">
            <x v="1"/>
          </reference>
        </references>
      </pivotArea>
    </format>
    <format dxfId="255">
      <pivotArea field="3" grandRow="1" outline="0" collapsedLevelsAreSubtotals="1" axis="axisRow" fieldPosition="0">
        <references count="1">
          <reference field="4294967294" count="1" selected="0">
            <x v="0"/>
          </reference>
        </references>
      </pivotArea>
    </format>
    <format dxfId="254">
      <pivotArea dataOnly="0" labelOnly="1" grandRow="1" outline="0" fieldPosition="0"/>
    </format>
    <format dxfId="253">
      <pivotArea field="3" type="button" dataOnly="0" labelOnly="1" outline="0" axis="axisRow" fieldPosition="0"/>
    </format>
    <format dxfId="252">
      <pivotArea dataOnly="0" labelOnly="1" outline="0" fieldPosition="0">
        <references count="1">
          <reference field="4294967294" count="1">
            <x v="0"/>
          </reference>
        </references>
      </pivotArea>
    </format>
    <format dxfId="251">
      <pivotArea dataOnly="0" labelOnly="1" outline="0" fieldPosition="0">
        <references count="1">
          <reference field="4294967294" count="1">
            <x v="1"/>
          </reference>
        </references>
      </pivotArea>
    </format>
    <format dxfId="250">
      <pivotArea dataOnly="0" labelOnly="1" outline="0" fieldPosition="0">
        <references count="1">
          <reference field="4294967294" count="1">
            <x v="2"/>
          </reference>
        </references>
      </pivotArea>
    </format>
    <format dxfId="249">
      <pivotArea field="3" grandRow="1" outline="0" collapsedLevelsAreSubtotals="1" axis="axisRow" fieldPosition="0">
        <references count="1">
          <reference field="4294967294" count="1" selected="0">
            <x v="2"/>
          </reference>
        </references>
      </pivotArea>
    </format>
    <format dxfId="248">
      <pivotArea field="3" grandRow="1" outline="0" collapsedLevelsAreSubtotals="1" axis="axisRow" fieldPosition="0">
        <references count="1">
          <reference field="4294967294" count="1" selected="0">
            <x v="1"/>
          </reference>
        </references>
      </pivotArea>
    </format>
    <format dxfId="247">
      <pivotArea field="3" grandRow="1" outline="0" collapsedLevelsAreSubtotals="1" axis="axisRow" fieldPosition="0">
        <references count="1">
          <reference field="4294967294" count="1" selected="0">
            <x v="0"/>
          </reference>
        </references>
      </pivotArea>
    </format>
    <format dxfId="246">
      <pivotArea dataOnly="0" labelOnly="1" grandRow="1" outline="0" fieldPosition="0"/>
    </format>
    <format dxfId="245">
      <pivotArea field="3" type="button" dataOnly="0" labelOnly="1" outline="0" axis="axisRow" fieldPosition="0"/>
    </format>
    <format dxfId="244">
      <pivotArea dataOnly="0" labelOnly="1" outline="0" fieldPosition="0">
        <references count="1">
          <reference field="4294967294" count="1">
            <x v="0"/>
          </reference>
        </references>
      </pivotArea>
    </format>
    <format dxfId="243">
      <pivotArea dataOnly="0" labelOnly="1" outline="0" fieldPosition="0">
        <references count="1">
          <reference field="4294967294" count="1">
            <x v="1"/>
          </reference>
        </references>
      </pivotArea>
    </format>
    <format dxfId="242">
      <pivotArea dataOnly="0" labelOnly="1" outline="0" fieldPosition="0">
        <references count="1">
          <reference field="4294967294" count="1">
            <x v="2"/>
          </reference>
        </references>
      </pivotArea>
    </format>
    <format dxfId="241">
      <pivotArea field="3" grandRow="1" outline="0" collapsedLevelsAreSubtotals="1" axis="axisRow" fieldPosition="0">
        <references count="1">
          <reference field="4294967294" count="1" selected="0">
            <x v="2"/>
          </reference>
        </references>
      </pivotArea>
    </format>
    <format dxfId="240">
      <pivotArea field="3" grandRow="1" outline="0" collapsedLevelsAreSubtotals="1" axis="axisRow" fieldPosition="0">
        <references count="1">
          <reference field="4294967294" count="1" selected="0">
            <x v="1"/>
          </reference>
        </references>
      </pivotArea>
    </format>
    <format dxfId="239">
      <pivotArea field="3" grandRow="1" outline="0" collapsedLevelsAreSubtotals="1" axis="axisRow" fieldPosition="0">
        <references count="1">
          <reference field="4294967294" count="1" selected="0">
            <x v="0"/>
          </reference>
        </references>
      </pivotArea>
    </format>
    <format dxfId="238">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FAF915F-17C4-477A-B7F0-5067C2ECDF1B}" name="Sales By Product Category"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rowHeaderCaption="Category">
  <location ref="J4:M8" firstHeaderRow="0" firstDataRow="1" firstDataCol="1"/>
  <pivotFields count="18">
    <pivotField showAll="0"/>
    <pivotField numFmtId="14" showAll="0">
      <items count="2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t="default"/>
      </items>
    </pivotField>
    <pivotField showAll="0"/>
    <pivotField showAll="0">
      <items count="13">
        <item x="3"/>
        <item x="7"/>
        <item x="10"/>
        <item x="8"/>
        <item x="1"/>
        <item x="0"/>
        <item x="4"/>
        <item x="9"/>
        <item x="5"/>
        <item x="11"/>
        <item x="2"/>
        <item x="6"/>
        <item t="default"/>
      </items>
    </pivotField>
    <pivotField showAll="0">
      <items count="5">
        <item x="1"/>
        <item x="0"/>
        <item x="3"/>
        <item x="2"/>
        <item t="default"/>
      </items>
    </pivotField>
    <pivotField showAll="0"/>
    <pivotField showAll="0">
      <items count="4">
        <item x="0"/>
        <item x="2"/>
        <item x="1"/>
        <item t="default"/>
      </items>
    </pivotField>
    <pivotField axis="axisRow" showAll="0">
      <items count="4">
        <item x="0"/>
        <item x="1"/>
        <item x="2"/>
        <item t="default"/>
      </items>
    </pivotField>
    <pivotField showAll="0"/>
    <pivotField dataField="1" showAll="0"/>
    <pivotField numFmtId="165" showAll="0"/>
    <pivotField numFmtId="9" showAll="0"/>
    <pivotField showAll="0"/>
    <pivotField showAll="0"/>
    <pivotField showAll="0">
      <items count="3">
        <item x="0"/>
        <item x="1"/>
        <item t="default"/>
      </items>
    </pivotField>
    <pivotField numFmtId="165" showAll="0"/>
    <pivotField numFmtId="165" showAll="0"/>
    <pivotField dataField="1" numFmtId="165" showAll="0"/>
  </pivotFields>
  <rowFields count="1">
    <field x="7"/>
  </rowFields>
  <rowItems count="4">
    <i>
      <x/>
    </i>
    <i>
      <x v="1"/>
    </i>
    <i>
      <x v="2"/>
    </i>
    <i t="grand">
      <x/>
    </i>
  </rowItems>
  <colFields count="1">
    <field x="-2"/>
  </colFields>
  <colItems count="3">
    <i>
      <x/>
    </i>
    <i i="1">
      <x v="1"/>
    </i>
    <i i="2">
      <x v="2"/>
    </i>
  </colItems>
  <dataFields count="3">
    <dataField name="Sum of Net Sales" fld="17" baseField="7" baseItem="0" numFmtId="165"/>
    <dataField name="QUANTITY SOLD" fld="9" subtotal="count" baseField="7" baseItem="0"/>
    <dataField name="% of TOTAL SALES" fld="17" showDataAs="percentOfTotal" baseField="7" baseItem="0" numFmtId="10"/>
  </dataFields>
  <formats count="36">
    <format dxfId="305">
      <pivotArea field="7" type="button" dataOnly="0" labelOnly="1" outline="0" axis="axisRow" fieldPosition="0"/>
    </format>
    <format dxfId="304">
      <pivotArea field="7" type="button" dataOnly="0" labelOnly="1" outline="0" axis="axisRow" fieldPosition="0"/>
    </format>
    <format dxfId="303">
      <pivotArea dataOnly="0" labelOnly="1" outline="0" fieldPosition="0">
        <references count="1">
          <reference field="4294967294" count="3">
            <x v="0"/>
            <x v="1"/>
            <x v="2"/>
          </reference>
        </references>
      </pivotArea>
    </format>
    <format dxfId="302">
      <pivotArea dataOnly="0" labelOnly="1" outline="0" fieldPosition="0">
        <references count="1">
          <reference field="4294967294" count="3">
            <x v="0"/>
            <x v="1"/>
            <x v="2"/>
          </reference>
        </references>
      </pivotArea>
    </format>
    <format dxfId="301">
      <pivotArea dataOnly="0" labelOnly="1" grandRow="1" outline="0" fieldPosition="0"/>
    </format>
    <format dxfId="300">
      <pivotArea field="7" grandRow="1" outline="0" collapsedLevelsAreSubtotals="1" axis="axisRow" fieldPosition="0">
        <references count="1">
          <reference field="4294967294" count="1" selected="0">
            <x v="0"/>
          </reference>
        </references>
      </pivotArea>
    </format>
    <format dxfId="299">
      <pivotArea field="7" grandRow="1" outline="0" collapsedLevelsAreSubtotals="1" axis="axisRow" fieldPosition="0">
        <references count="1">
          <reference field="4294967294" count="1" selected="0">
            <x v="1"/>
          </reference>
        </references>
      </pivotArea>
    </format>
    <format dxfId="298">
      <pivotArea field="7" grandRow="1" outline="0" collapsedLevelsAreSubtotals="1" axis="axisRow" fieldPosition="0">
        <references count="1">
          <reference field="4294967294" count="1" selected="0">
            <x v="2"/>
          </reference>
        </references>
      </pivotArea>
    </format>
    <format dxfId="297">
      <pivotArea dataOnly="0" labelOnly="1" outline="0" fieldPosition="0">
        <references count="1">
          <reference field="4294967294" count="1">
            <x v="2"/>
          </reference>
        </references>
      </pivotArea>
    </format>
    <format dxfId="296">
      <pivotArea dataOnly="0" labelOnly="1" outline="0" fieldPosition="0">
        <references count="1">
          <reference field="4294967294" count="1">
            <x v="1"/>
          </reference>
        </references>
      </pivotArea>
    </format>
    <format dxfId="295">
      <pivotArea dataOnly="0" labelOnly="1" outline="0" fieldPosition="0">
        <references count="1">
          <reference field="4294967294" count="1">
            <x v="0"/>
          </reference>
        </references>
      </pivotArea>
    </format>
    <format dxfId="294">
      <pivotArea field="7" type="button" dataOnly="0" labelOnly="1" outline="0" axis="axisRow" fieldPosition="0"/>
    </format>
    <format dxfId="293">
      <pivotArea dataOnly="0" labelOnly="1" grandRow="1" outline="0" fieldPosition="0"/>
    </format>
    <format dxfId="292">
      <pivotArea field="7" grandRow="1" outline="0" collapsedLevelsAreSubtotals="1" axis="axisRow" fieldPosition="0">
        <references count="1">
          <reference field="4294967294" count="1" selected="0">
            <x v="0"/>
          </reference>
        </references>
      </pivotArea>
    </format>
    <format dxfId="291">
      <pivotArea field="7" grandRow="1" outline="0" collapsedLevelsAreSubtotals="1" axis="axisRow" fieldPosition="0">
        <references count="1">
          <reference field="4294967294" count="1" selected="0">
            <x v="1"/>
          </reference>
        </references>
      </pivotArea>
    </format>
    <format dxfId="290">
      <pivotArea field="7" grandRow="1" outline="0" collapsedLevelsAreSubtotals="1" axis="axisRow" fieldPosition="0">
        <references count="1">
          <reference field="4294967294" count="1" selected="0">
            <x v="2"/>
          </reference>
        </references>
      </pivotArea>
    </format>
    <format dxfId="289">
      <pivotArea dataOnly="0" labelOnly="1" outline="0" fieldPosition="0">
        <references count="1">
          <reference field="4294967294" count="1">
            <x v="2"/>
          </reference>
        </references>
      </pivotArea>
    </format>
    <format dxfId="288">
      <pivotArea dataOnly="0" labelOnly="1" outline="0" fieldPosition="0">
        <references count="1">
          <reference field="4294967294" count="1">
            <x v="1"/>
          </reference>
        </references>
      </pivotArea>
    </format>
    <format dxfId="287">
      <pivotArea dataOnly="0" labelOnly="1" outline="0" fieldPosition="0">
        <references count="1">
          <reference field="4294967294" count="1">
            <x v="0"/>
          </reference>
        </references>
      </pivotArea>
    </format>
    <format dxfId="286">
      <pivotArea field="7" type="button" dataOnly="0" labelOnly="1" outline="0" axis="axisRow" fieldPosition="0"/>
    </format>
    <format dxfId="285">
      <pivotArea field="7" type="button" dataOnly="0" labelOnly="1" outline="0" axis="axisRow" fieldPosition="0"/>
    </format>
    <format dxfId="284">
      <pivotArea dataOnly="0" labelOnly="1" outline="0" fieldPosition="0">
        <references count="1">
          <reference field="4294967294" count="1">
            <x v="0"/>
          </reference>
        </references>
      </pivotArea>
    </format>
    <format dxfId="283">
      <pivotArea dataOnly="0" labelOnly="1" outline="0" fieldPosition="0">
        <references count="1">
          <reference field="4294967294" count="1">
            <x v="1"/>
          </reference>
        </references>
      </pivotArea>
    </format>
    <format dxfId="282">
      <pivotArea dataOnly="0" labelOnly="1" outline="0" fieldPosition="0">
        <references count="1">
          <reference field="4294967294" count="1">
            <x v="2"/>
          </reference>
        </references>
      </pivotArea>
    </format>
    <format dxfId="281">
      <pivotArea field="7" grandRow="1" outline="0" collapsedLevelsAreSubtotals="1" axis="axisRow" fieldPosition="0">
        <references count="1">
          <reference field="4294967294" count="1" selected="0">
            <x v="2"/>
          </reference>
        </references>
      </pivotArea>
    </format>
    <format dxfId="280">
      <pivotArea field="7" grandRow="1" outline="0" collapsedLevelsAreSubtotals="1" axis="axisRow" fieldPosition="0">
        <references count="1">
          <reference field="4294967294" count="1" selected="0">
            <x v="1"/>
          </reference>
        </references>
      </pivotArea>
    </format>
    <format dxfId="279">
      <pivotArea field="7" grandRow="1" outline="0" collapsedLevelsAreSubtotals="1" axis="axisRow" fieldPosition="0">
        <references count="1">
          <reference field="4294967294" count="1" selected="0">
            <x v="0"/>
          </reference>
        </references>
      </pivotArea>
    </format>
    <format dxfId="278">
      <pivotArea dataOnly="0" labelOnly="1" grandRow="1" outline="0" fieldPosition="0"/>
    </format>
    <format dxfId="277">
      <pivotArea field="7" type="button" dataOnly="0" labelOnly="1" outline="0" axis="axisRow" fieldPosition="0"/>
    </format>
    <format dxfId="276">
      <pivotArea dataOnly="0" labelOnly="1" outline="0" fieldPosition="0">
        <references count="1">
          <reference field="4294967294" count="1">
            <x v="0"/>
          </reference>
        </references>
      </pivotArea>
    </format>
    <format dxfId="275">
      <pivotArea dataOnly="0" labelOnly="1" outline="0" fieldPosition="0">
        <references count="1">
          <reference field="4294967294" count="1">
            <x v="1"/>
          </reference>
        </references>
      </pivotArea>
    </format>
    <format dxfId="274">
      <pivotArea dataOnly="0" labelOnly="1" outline="0" fieldPosition="0">
        <references count="1">
          <reference field="4294967294" count="1">
            <x v="2"/>
          </reference>
        </references>
      </pivotArea>
    </format>
    <format dxfId="273">
      <pivotArea field="7" grandRow="1" outline="0" collapsedLevelsAreSubtotals="1" axis="axisRow" fieldPosition="0">
        <references count="1">
          <reference field="4294967294" count="1" selected="0">
            <x v="2"/>
          </reference>
        </references>
      </pivotArea>
    </format>
    <format dxfId="272">
      <pivotArea field="7" grandRow="1" outline="0" collapsedLevelsAreSubtotals="1" axis="axisRow" fieldPosition="0">
        <references count="1">
          <reference field="4294967294" count="1" selected="0">
            <x v="1"/>
          </reference>
        </references>
      </pivotArea>
    </format>
    <format dxfId="271">
      <pivotArea field="7" grandRow="1" outline="0" collapsedLevelsAreSubtotals="1" axis="axisRow" fieldPosition="0">
        <references count="1">
          <reference field="4294967294" count="1" selected="0">
            <x v="0"/>
          </reference>
        </references>
      </pivotArea>
    </format>
    <format dxfId="270">
      <pivotArea dataOnly="0" labelOnly="1" grandRow="1" outline="0" fieldPosition="0"/>
    </format>
  </formats>
  <chartFormats count="9">
    <chartFormat chart="9" format="18" series="1">
      <pivotArea type="data" outline="0" fieldPosition="0">
        <references count="1">
          <reference field="4294967294" count="1" selected="0">
            <x v="0"/>
          </reference>
        </references>
      </pivotArea>
    </chartFormat>
    <chartFormat chart="9" format="19">
      <pivotArea type="data" outline="0" fieldPosition="0">
        <references count="2">
          <reference field="4294967294" count="1" selected="0">
            <x v="0"/>
          </reference>
          <reference field="7" count="1" selected="0">
            <x v="0"/>
          </reference>
        </references>
      </pivotArea>
    </chartFormat>
    <chartFormat chart="9" format="20">
      <pivotArea type="data" outline="0" fieldPosition="0">
        <references count="2">
          <reference field="4294967294" count="1" selected="0">
            <x v="0"/>
          </reference>
          <reference field="7" count="1" selected="0">
            <x v="1"/>
          </reference>
        </references>
      </pivotArea>
    </chartFormat>
    <chartFormat chart="9" format="21">
      <pivotArea type="data" outline="0" fieldPosition="0">
        <references count="2">
          <reference field="4294967294" count="1" selected="0">
            <x v="0"/>
          </reference>
          <reference field="7" count="1" selected="0">
            <x v="2"/>
          </reference>
        </references>
      </pivotArea>
    </chartFormat>
    <chartFormat chart="9" format="22" series="1">
      <pivotArea type="data" outline="0" fieldPosition="0">
        <references count="1">
          <reference field="4294967294" count="1" selected="0">
            <x v="1"/>
          </reference>
        </references>
      </pivotArea>
    </chartFormat>
    <chartFormat chart="9" format="23" series="1">
      <pivotArea type="data" outline="0" fieldPosition="0">
        <references count="1">
          <reference field="4294967294" count="1" selected="0">
            <x v="2"/>
          </reference>
        </references>
      </pivotArea>
    </chartFormat>
    <chartFormat chart="9" format="24">
      <pivotArea type="data" outline="0" fieldPosition="0">
        <references count="2">
          <reference field="4294967294" count="1" selected="0">
            <x v="2"/>
          </reference>
          <reference field="7" count="1" selected="0">
            <x v="0"/>
          </reference>
        </references>
      </pivotArea>
    </chartFormat>
    <chartFormat chart="9" format="25">
      <pivotArea type="data" outline="0" fieldPosition="0">
        <references count="2">
          <reference field="4294967294" count="1" selected="0">
            <x v="2"/>
          </reference>
          <reference field="7" count="1" selected="0">
            <x v="2"/>
          </reference>
        </references>
      </pivotArea>
    </chartFormat>
    <chartFormat chart="9" format="26">
      <pivotArea type="data" outline="0" fieldPosition="0">
        <references count="2">
          <reference field="4294967294" count="1" selected="0">
            <x v="2"/>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3B65875-53F1-498E-83C9-431B1DC2FB43}" name="KPI"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Q6:T7" firstHeaderRow="0" firstDataRow="1" firstDataCol="0"/>
  <pivotFields count="18">
    <pivotField dataField="1" showAll="0"/>
    <pivotField numFmtId="14" showAll="0">
      <items count="2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t="default"/>
      </items>
    </pivotField>
    <pivotField showAll="0"/>
    <pivotField showAll="0">
      <items count="13">
        <item x="3"/>
        <item x="7"/>
        <item x="10"/>
        <item x="8"/>
        <item x="1"/>
        <item x="0"/>
        <item x="4"/>
        <item x="9"/>
        <item x="5"/>
        <item x="11"/>
        <item x="2"/>
        <item x="6"/>
        <item t="default"/>
      </items>
    </pivotField>
    <pivotField showAll="0">
      <items count="5">
        <item x="1"/>
        <item x="0"/>
        <item x="3"/>
        <item x="2"/>
        <item t="default"/>
      </items>
    </pivotField>
    <pivotField showAll="0"/>
    <pivotField showAll="0">
      <items count="4">
        <item x="0"/>
        <item x="2"/>
        <item x="1"/>
        <item t="default"/>
      </items>
    </pivotField>
    <pivotField showAll="0">
      <items count="4">
        <item x="0"/>
        <item x="1"/>
        <item x="2"/>
        <item t="default"/>
      </items>
    </pivotField>
    <pivotField showAll="0"/>
    <pivotField dataField="1" showAll="0"/>
    <pivotField numFmtId="165" showAll="0"/>
    <pivotField numFmtId="9" showAll="0"/>
    <pivotField showAll="0"/>
    <pivotField showAll="0"/>
    <pivotField showAll="0">
      <items count="3">
        <item x="0"/>
        <item x="1"/>
        <item t="default"/>
      </items>
    </pivotField>
    <pivotField numFmtId="165" showAll="0"/>
    <pivotField numFmtId="165" showAll="0"/>
    <pivotField dataField="1" numFmtId="165" showAll="0"/>
  </pivotFields>
  <rowItems count="1">
    <i/>
  </rowItems>
  <colFields count="1">
    <field x="-2"/>
  </colFields>
  <colItems count="4">
    <i>
      <x/>
    </i>
    <i i="1">
      <x v="1"/>
    </i>
    <i i="2">
      <x v="2"/>
    </i>
    <i i="3">
      <x v="3"/>
    </i>
  </colItems>
  <dataFields count="4">
    <dataField name="Sum of Net Sales" fld="17" baseField="0" baseItem="0" numFmtId="165"/>
    <dataField name="Average of Net Sales" fld="17" subtotal="average" baseField="0" baseItem="1" numFmtId="165"/>
    <dataField name="Sum of Quantity" fld="9" baseField="0" baseItem="0"/>
    <dataField name="Count of Order ID" fld="0" subtotal="count" baseField="0" baseItem="1"/>
  </dataFields>
  <formats count="16">
    <format dxfId="321">
      <pivotArea dataOnly="0" labelOnly="1" outline="0" fieldPosition="0">
        <references count="1">
          <reference field="4294967294" count="1">
            <x v="0"/>
          </reference>
        </references>
      </pivotArea>
    </format>
    <format dxfId="320">
      <pivotArea dataOnly="0" labelOnly="1" outline="0" fieldPosition="0">
        <references count="1">
          <reference field="4294967294" count="1">
            <x v="1"/>
          </reference>
        </references>
      </pivotArea>
    </format>
    <format dxfId="319">
      <pivotArea dataOnly="0" labelOnly="1" outline="0" fieldPosition="0">
        <references count="1">
          <reference field="4294967294" count="1">
            <x v="3"/>
          </reference>
        </references>
      </pivotArea>
    </format>
    <format dxfId="318">
      <pivotArea dataOnly="0" labelOnly="1" outline="0" fieldPosition="0">
        <references count="1">
          <reference field="4294967294" count="1">
            <x v="2"/>
          </reference>
        </references>
      </pivotArea>
    </format>
    <format dxfId="317">
      <pivotArea dataOnly="0" labelOnly="1" outline="0" fieldPosition="0">
        <references count="1">
          <reference field="4294967294" count="1">
            <x v="0"/>
          </reference>
        </references>
      </pivotArea>
    </format>
    <format dxfId="316">
      <pivotArea dataOnly="0" labelOnly="1" outline="0" fieldPosition="0">
        <references count="1">
          <reference field="4294967294" count="1">
            <x v="1"/>
          </reference>
        </references>
      </pivotArea>
    </format>
    <format dxfId="315">
      <pivotArea dataOnly="0" labelOnly="1" outline="0" fieldPosition="0">
        <references count="1">
          <reference field="4294967294" count="1">
            <x v="3"/>
          </reference>
        </references>
      </pivotArea>
    </format>
    <format dxfId="314">
      <pivotArea dataOnly="0" labelOnly="1" outline="0" fieldPosition="0">
        <references count="1">
          <reference field="4294967294" count="1">
            <x v="2"/>
          </reference>
        </references>
      </pivotArea>
    </format>
    <format dxfId="313">
      <pivotArea dataOnly="0" labelOnly="1" outline="0" fieldPosition="0">
        <references count="1">
          <reference field="4294967294" count="1">
            <x v="0"/>
          </reference>
        </references>
      </pivotArea>
    </format>
    <format dxfId="312">
      <pivotArea dataOnly="0" labelOnly="1" outline="0" fieldPosition="0">
        <references count="1">
          <reference field="4294967294" count="1">
            <x v="1"/>
          </reference>
        </references>
      </pivotArea>
    </format>
    <format dxfId="311">
      <pivotArea dataOnly="0" labelOnly="1" outline="0" fieldPosition="0">
        <references count="1">
          <reference field="4294967294" count="1">
            <x v="2"/>
          </reference>
        </references>
      </pivotArea>
    </format>
    <format dxfId="310">
      <pivotArea dataOnly="0" labelOnly="1" outline="0" fieldPosition="0">
        <references count="1">
          <reference field="4294967294" count="1">
            <x v="3"/>
          </reference>
        </references>
      </pivotArea>
    </format>
    <format dxfId="309">
      <pivotArea dataOnly="0" labelOnly="1" outline="0" fieldPosition="0">
        <references count="1">
          <reference field="4294967294" count="1">
            <x v="0"/>
          </reference>
        </references>
      </pivotArea>
    </format>
    <format dxfId="308">
      <pivotArea dataOnly="0" labelOnly="1" outline="0" fieldPosition="0">
        <references count="1">
          <reference field="4294967294" count="1">
            <x v="1"/>
          </reference>
        </references>
      </pivotArea>
    </format>
    <format dxfId="307">
      <pivotArea dataOnly="0" labelOnly="1" outline="0" fieldPosition="0">
        <references count="1">
          <reference field="4294967294" count="1">
            <x v="2"/>
          </reference>
        </references>
      </pivotArea>
    </format>
    <format dxfId="306">
      <pivotArea dataOnly="0" labelOnly="1" outline="0" fieldPosition="0">
        <references count="1">
          <reference field="4294967294"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01C689B-428C-4401-9EF9-E856EEB211C3}" sourceName="Region">
  <pivotTables>
    <pivotTable tabId="6" name="Sales By Region"/>
    <pivotTable tabId="6" name="Net Sales By Month"/>
    <pivotTable tabId="6" name="Sales By Customer Type"/>
    <pivotTable tabId="6" name="Salesperson Performance"/>
    <pivotTable tabId="6" name="KPI"/>
    <pivotTable tabId="6" name="Customer Type Performance 1"/>
    <pivotTable tabId="6" name="PivotTableProductCategory"/>
    <pivotTable tabId="6" name="PivotTableProducts"/>
  </pivotTables>
  <data>
    <tabular pivotCacheId="300044975">
      <items count="4">
        <i x="1" s="1"/>
        <i x="0"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9D4C43AB-214E-4312-BF76-E9B4367592AC}" sourceName="Product Category">
  <pivotTables>
    <pivotTable tabId="6" name="Sales By Region"/>
    <pivotTable tabId="6" name="Net Sales By Month"/>
    <pivotTable tabId="6" name="Sales By Customer Type"/>
    <pivotTable tabId="6" name="Sales By Product"/>
    <pivotTable tabId="6" name="Sales By Product Category"/>
    <pivotTable tabId="6" name="Salesperson Performance"/>
    <pivotTable tabId="6" name="KPI"/>
    <pivotTable tabId="6" name="Customer Type Performance 1"/>
    <pivotTable tabId="6" name="PivotTableProductCategory"/>
    <pivotTable tabId="6" name="PivotTableProducts"/>
  </pivotTables>
  <data>
    <tabular pivotCacheId="300044975">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C59773A5-D67F-42DB-B73C-C6261F713A9F}" sourceName="Customer Type">
  <pivotTables>
    <pivotTable tabId="6" name="Sales By Region"/>
    <pivotTable tabId="6" name="Net Sales By Month"/>
    <pivotTable tabId="6" name="Sales By Customer Type"/>
    <pivotTable tabId="6" name="Sales By Product"/>
    <pivotTable tabId="6" name="Sales By Product Category"/>
    <pivotTable tabId="6" name="Salesperson Performance"/>
    <pivotTable tabId="6" name="KPI"/>
    <pivotTable tabId="6" name="Customer Type Performance 1"/>
    <pivotTable tabId="6" name="PivotTableProductCategory"/>
    <pivotTable tabId="6" name="PivotTableProducts"/>
  </pivotTables>
  <data>
    <tabular pivotCacheId="300044975">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person" xr10:uid="{52B7F9BC-758C-4EED-8344-548AA6E43464}" sourceName="Saleperson">
  <pivotTables>
    <pivotTable tabId="6" name="Sales By Region"/>
    <pivotTable tabId="6" name="Net Sales By Month"/>
    <pivotTable tabId="6" name="Sales By Customer Type"/>
    <pivotTable tabId="6" name="Sales By Product"/>
    <pivotTable tabId="6" name="Sales By Product Category"/>
    <pivotTable tabId="6" name="Salesperson Performance"/>
    <pivotTable tabId="6" name="KPI"/>
    <pivotTable tabId="6" name="Customer Type Performance 1"/>
    <pivotTable tabId="6" name="PivotTableProductCategory"/>
    <pivotTable tabId="6" name="PivotTableProducts"/>
  </pivotTables>
  <data>
    <tabular pivotCacheId="300044975">
      <items count="12">
        <i x="3" s="1"/>
        <i x="7" s="1"/>
        <i x="10" s="1"/>
        <i x="8" s="1"/>
        <i x="1" s="1"/>
        <i x="0" s="1"/>
        <i x="4" s="1"/>
        <i x="9" s="1"/>
        <i x="5" s="1"/>
        <i x="11" s="1"/>
        <i x="2"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9793CCF8-DB5A-4D15-84C3-4BEA8FD1ABB1}" cache="Slicer_Region" caption="Region" style="SlicerStyleDark1" lockedPosition="1" rowHeight="241300"/>
  <slicer name="Product Category 1" xr10:uid="{6593F910-14E2-4B81-AF58-979C060ADB18}" cache="Slicer_Product_Category" caption="Product Category" style="SlicerStyleDark1" lockedPosition="1" rowHeight="241300"/>
  <slicer name="Customer Type 1" xr10:uid="{3E18C808-A57B-4393-9FA6-F3741713FF36}" cache="Slicer_Customer_Type" caption="Customer Type" style="SlicerStyleDark1" lockedPosition="1" rowHeight="241300"/>
  <slicer name="Saleperson 1" xr10:uid="{353D2F7D-C145-43E6-ADE4-3495DA74A395}" cache="Slicer_Saleperson" caption="Saleperson" startItem="1" style="SlicerStyleDark1" lockedPosition="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E9A14DC-451D-44AF-BA09-78A3951E1758}" name="tblSales" displayName="tblSales" ref="A1:R302" totalsRowCount="1" headerRowDxfId="358">
  <autoFilter ref="A1:R301" xr:uid="{6E9A14DC-451D-44AF-BA09-78A3951E175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autoFilter>
  <tableColumns count="18">
    <tableColumn id="1" xr3:uid="{DBB9DB81-90DD-4573-B5CA-28F2F2073FF3}" name="Order ID" dataDxfId="357" totalsRowDxfId="356">
      <calculatedColumnFormula>"ORD-2026-"&amp;TEXT(ROW()-1,"0000")</calculatedColumnFormula>
    </tableColumn>
    <tableColumn id="2" xr3:uid="{BD00363C-B905-4956-A39A-4EB770B22D0F}" name="Date" dataDxfId="355" totalsRowDxfId="354"/>
    <tableColumn id="3" xr3:uid="{FEE3CD05-6BC4-4CE7-847B-4658BF461A66}" name="Month" dataDxfId="353" totalsRowDxfId="352">
      <calculatedColumnFormula>TEXT(tblSales[[#This Row],[Date]],"mmmm")</calculatedColumnFormula>
    </tableColumn>
    <tableColumn id="4" xr3:uid="{3F8F86B7-0506-4DAA-A5FE-9F9AD61DB257}" name="Saleperson" dataDxfId="351" totalsRowDxfId="350"/>
    <tableColumn id="5" xr3:uid="{7D5C4ADF-565A-40D0-9277-D608296367AE}" name="Region" dataDxfId="349" totalsRowDxfId="348">
      <calculatedColumnFormula>_xlfn.XLOOKUP(tblSales[[#This Row],[Saleperson]],Lookup_Tables!$B$5:$B$16,Lookup_Tables!$C$5:$C$16)</calculatedColumnFormula>
    </tableColumn>
    <tableColumn id="6" xr3:uid="{83A0F12C-F6D6-42F2-B627-59BAE543FB1E}" name="Customer" dataDxfId="347" totalsRowDxfId="346"/>
    <tableColumn id="7" xr3:uid="{51168540-509A-4C3E-802A-0DFE7F1A52C2}" name="Customer Type" dataDxfId="345" totalsRowDxfId="344">
      <calculatedColumnFormula>_xlfn.XLOOKUP(tblSales[[#This Row],[Customer]],Lookup_Tables!$I$5:$I$34,Lookup_Tables!$J$5:$J$34)</calculatedColumnFormula>
    </tableColumn>
    <tableColumn id="8" xr3:uid="{EDE59689-573B-4F9E-BB2B-19819F956696}" name="Product Category" dataDxfId="343" totalsRowDxfId="342">
      <calculatedColumnFormula>_xlfn.XLOOKUP(tblSales[[#This Row],[Product]],Lookup_Tables!$F$5:$F$23,Lookup_Tables!$E$5:$E$23,"")</calculatedColumnFormula>
    </tableColumn>
    <tableColumn id="9" xr3:uid="{9F274C53-FF4A-4D14-B0AC-AAFF3E5940A7}" name="Product" dataDxfId="341" totalsRowDxfId="340"/>
    <tableColumn id="10" xr3:uid="{79CE70F6-4F62-4505-A940-54935EC8E06E}" name="Quantity" dataDxfId="339" totalsRowDxfId="338"/>
    <tableColumn id="11" xr3:uid="{A37CCCD4-B6D6-4049-9F15-42BAE51F160A}" name="Unit Price" dataDxfId="337" totalsRowDxfId="336">
      <calculatedColumnFormula>_xlfn.XLOOKUP(tblSales[[#This Row],[Product]],Lookup_Tables!$F$5:$F$23,Lookup_Tables!$G$5:$G$23,"")</calculatedColumnFormula>
    </tableColumn>
    <tableColumn id="12" xr3:uid="{39C708D1-195D-4B30-85F6-FF45B4DFBC5D}" name="Discount%" dataDxfId="335" totalsRowDxfId="334">
      <calculatedColumnFormula>_xlfn.XLOOKUP(tblSales[[#This Row],[Customer Type]],Lookup_Tables!$B$19:$B$21,Lookup_Tables!$C$19:$C$21,0)</calculatedColumnFormula>
    </tableColumn>
    <tableColumn id="14" xr3:uid="{478E5F7A-B8E8-49DD-911F-512111AE0270}" name="Payment Method" dataDxfId="333" totalsRowDxfId="332"/>
    <tableColumn id="17" xr3:uid="{BE6B0248-266B-4D66-AEC2-E86647DA0A46}" name="Quarter" dataDxfId="331" totalsRowDxfId="330">
      <calculatedColumnFormula>"Q"&amp;ROUNDUP(MONTH(tblSales[[#This Row],[Date]])/3,0)</calculatedColumnFormula>
    </tableColumn>
    <tableColumn id="18" xr3:uid="{7508F9A7-E616-4F71-BC5A-962EA2BD7418}" name="Year" dataDxfId="329" totalsRowDxfId="328">
      <calculatedColumnFormula>YEAR(tblSales[[#This Row],[Date]])</calculatedColumnFormula>
    </tableColumn>
    <tableColumn id="19" xr3:uid="{E4F681D1-AB5F-4884-8EAE-3FF2D4C2184F}" name="Gross Sales" dataDxfId="327" totalsRowDxfId="326">
      <calculatedColumnFormula>tblSales[[#This Row],[Quantity]]*tblSales[[#This Row],[Unit Price]]</calculatedColumnFormula>
    </tableColumn>
    <tableColumn id="20" xr3:uid="{FBC78A62-9C30-40A1-A4DC-7DC5C8425B5D}" name="Discount Amount" dataDxfId="325" totalsRowDxfId="324">
      <calculatedColumnFormula>tblSales[[#This Row],[Gross Sales]]*tblSales[[#This Row],[Discount%]]</calculatedColumnFormula>
    </tableColumn>
    <tableColumn id="21" xr3:uid="{8087F246-C492-4BC9-94E4-DEBE1D2ABFD7}" name="Net Sales" dataDxfId="323" totalsRowDxfId="322">
      <calculatedColumnFormula>tblSales[[#This Row],[Gross Sales]]-tblSales[[#This Row],[Discount Amount]]</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AD57B49A-542A-470D-9551-49ACBD0F64CB}" sourceName="Date">
  <pivotTables>
    <pivotTable tabId="6" name="Net Sales By Month"/>
    <pivotTable tabId="6" name="Customer Type Performance 1"/>
    <pivotTable tabId="6" name="KPI"/>
    <pivotTable tabId="6" name="Payment Method Analysis"/>
    <pivotTable tabId="6" name="Sales By Customer Type"/>
    <pivotTable tabId="6" name="Sales By Product"/>
    <pivotTable tabId="6" name="Sales By Product Category"/>
    <pivotTable tabId="6" name="Sales By Region"/>
    <pivotTable tabId="6" name="Salesperson Performance"/>
    <pivotTable tabId="6" name="PivotTableProductCategory"/>
    <pivotTable tabId="6" name="PivotTableProducts"/>
  </pivotTables>
  <state minimalRefreshVersion="6" lastRefreshVersion="6" pivotCacheId="300044975" filterType="unknown">
    <bounds startDate="2025-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5F24123E-4547-4BC6-BA16-B54780DCE969}" cache="NativeTimeline_Date" caption="Year" level="0" selectionLevel="0" scrollPosition="2025-01-01T00:00:00" style="TimeSlicerStyleDark1"/>
  <timeline name="Months" xr10:uid="{4917FB93-F738-4665-A9B9-FB14649378C7}" cache="NativeTimeline_Date" caption="Months" level="2" selectionLevel="2" scrollPosition="2025-04-20T00:00:00" style="TimeSlicerStyleDark1"/>
  <timeline name="Day" xr10:uid="{AA6C7A0B-238A-4485-9841-D19C9AE38F18}" cache="NativeTimeline_Date" caption="Days" level="3" selectionLevel="3" scrollPosition="2025-08-08T00:00:00" style="TimeSlicerStyleDark1"/>
  <timeline name="Day 1" xr10:uid="{6B729887-DBF9-4FC2-87CE-38C27170CFE5}" cache="NativeTimeline_Date" caption="Quarter" level="1" selectionLevel="1" scrollPosition="2025-01-01T00:00:00" style="TimeSlicerStyleDark1"/>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CCD6A8-7157-4C6E-A08C-4C899A3BE69D}">
  <dimension ref="A1:FP302"/>
  <sheetViews>
    <sheetView showRowColHeaders="0" zoomScale="88" zoomScaleNormal="106" workbookViewId="0">
      <pane xSplit="3" ySplit="1" topLeftCell="D8" activePane="bottomRight" state="frozen"/>
      <selection pane="topRight" activeCell="D1" sqref="D1"/>
      <selection pane="bottomLeft" activeCell="A2" sqref="A2"/>
      <selection pane="bottomRight" activeCell="FG17" sqref="FG17"/>
    </sheetView>
  </sheetViews>
  <sheetFormatPr defaultRowHeight="14.5" x14ac:dyDescent="0.35"/>
  <cols>
    <col min="1" max="1" width="14.7265625" customWidth="1"/>
    <col min="2" max="2" width="11.1796875" customWidth="1"/>
    <col min="3" max="3" width="9.453125" customWidth="1"/>
    <col min="4" max="4" width="15.453125" customWidth="1"/>
    <col min="6" max="6" width="21.26953125" customWidth="1"/>
    <col min="7" max="7" width="13.7265625" customWidth="1"/>
    <col min="8" max="8" width="15.6328125" customWidth="1"/>
    <col min="11" max="11" width="11.6328125" customWidth="1"/>
    <col min="12" max="12" width="10.90625" customWidth="1"/>
    <col min="13" max="13" width="15.81640625" customWidth="1"/>
    <col min="14" max="14" width="10.26953125" customWidth="1"/>
    <col min="15" max="15" width="8.1796875" customWidth="1"/>
    <col min="16" max="16" width="14.54296875" customWidth="1"/>
    <col min="17" max="17" width="15.90625" customWidth="1"/>
    <col min="18" max="18" width="17.1796875" customWidth="1"/>
    <col min="19" max="19" width="13.08984375" customWidth="1"/>
    <col min="22" max="22" width="11.54296875" customWidth="1"/>
  </cols>
  <sheetData>
    <row r="1" spans="1:172" s="60" customFormat="1" ht="42.5" customHeight="1" thickBot="1" x14ac:dyDescent="0.4">
      <c r="A1" s="61" t="s">
        <v>0</v>
      </c>
      <c r="B1" s="62" t="s">
        <v>1</v>
      </c>
      <c r="C1" s="62" t="s">
        <v>2</v>
      </c>
      <c r="D1" s="62" t="s">
        <v>92</v>
      </c>
      <c r="E1" s="62" t="s">
        <v>4</v>
      </c>
      <c r="F1" s="62" t="s">
        <v>5</v>
      </c>
      <c r="G1" s="62" t="s">
        <v>6</v>
      </c>
      <c r="H1" s="62" t="s">
        <v>7</v>
      </c>
      <c r="I1" s="62" t="s">
        <v>8</v>
      </c>
      <c r="J1" s="62" t="s">
        <v>9</v>
      </c>
      <c r="K1" s="63" t="s">
        <v>10</v>
      </c>
      <c r="L1" s="62" t="s">
        <v>11</v>
      </c>
      <c r="M1" s="62" t="s">
        <v>12</v>
      </c>
      <c r="N1" s="62" t="s">
        <v>93</v>
      </c>
      <c r="O1" s="62" t="s">
        <v>94</v>
      </c>
      <c r="P1" s="62" t="s">
        <v>95</v>
      </c>
      <c r="Q1" s="62" t="s">
        <v>96</v>
      </c>
      <c r="R1" s="64" t="s">
        <v>97</v>
      </c>
      <c r="S1" s="16"/>
      <c r="T1" s="16"/>
      <c r="U1" s="65"/>
      <c r="V1" s="66"/>
      <c r="W1" s="16"/>
      <c r="X1" s="16"/>
      <c r="Y1" s="16"/>
      <c r="Z1" s="16"/>
      <c r="AA1" s="16"/>
      <c r="AB1" s="16"/>
      <c r="AC1" s="16"/>
      <c r="AD1" s="16"/>
      <c r="AE1" s="16"/>
      <c r="AF1" s="16"/>
      <c r="AG1" s="16"/>
      <c r="AH1" s="16"/>
      <c r="AI1" s="16"/>
      <c r="AJ1" s="16"/>
      <c r="AK1" s="16"/>
      <c r="AL1" s="16"/>
      <c r="AM1" s="16"/>
      <c r="AN1" s="16"/>
      <c r="AO1" s="16"/>
      <c r="AP1" s="16"/>
      <c r="AQ1" s="16"/>
      <c r="AR1" s="16"/>
      <c r="AS1" s="16"/>
      <c r="AT1" s="16"/>
      <c r="AU1" s="16"/>
      <c r="AV1" s="16"/>
      <c r="AW1" s="16"/>
      <c r="AX1" s="16"/>
      <c r="AY1" s="16"/>
      <c r="AZ1" s="16"/>
      <c r="BA1" s="16"/>
      <c r="BB1" s="16"/>
      <c r="BC1" s="16"/>
      <c r="BD1" s="16"/>
      <c r="BE1" s="16"/>
      <c r="BF1" s="16"/>
      <c r="BG1" s="16"/>
      <c r="BH1" s="16"/>
      <c r="BI1" s="16"/>
      <c r="BJ1" s="16"/>
      <c r="BK1" s="16"/>
      <c r="BL1" s="16"/>
      <c r="BM1" s="16"/>
      <c r="BN1" s="16"/>
      <c r="BO1" s="16"/>
      <c r="BP1" s="16"/>
      <c r="BQ1" s="16"/>
      <c r="BR1" s="16"/>
      <c r="BS1" s="16"/>
      <c r="BT1" s="16"/>
      <c r="BU1" s="16"/>
      <c r="BV1" s="16"/>
      <c r="BW1" s="16"/>
      <c r="BX1" s="16"/>
      <c r="BY1" s="16"/>
      <c r="BZ1" s="16"/>
      <c r="CA1" s="16"/>
      <c r="CB1" s="16"/>
      <c r="CC1" s="16"/>
      <c r="CD1" s="16"/>
      <c r="CE1" s="16"/>
      <c r="CF1" s="16"/>
      <c r="CG1" s="16"/>
      <c r="CH1" s="16"/>
      <c r="CI1" s="16"/>
      <c r="CJ1" s="16"/>
      <c r="CK1" s="16"/>
      <c r="CL1" s="16"/>
      <c r="CM1" s="16"/>
      <c r="CN1" s="16"/>
      <c r="CO1" s="16"/>
      <c r="CP1" s="16"/>
      <c r="CQ1" s="16"/>
      <c r="CR1" s="16"/>
      <c r="CS1" s="16"/>
      <c r="CT1" s="16"/>
      <c r="CU1" s="16"/>
      <c r="CV1" s="16"/>
      <c r="CW1" s="16"/>
      <c r="CX1" s="16"/>
      <c r="CY1" s="16"/>
      <c r="CZ1" s="16"/>
      <c r="DA1" s="16"/>
      <c r="DB1" s="16"/>
      <c r="DC1" s="16"/>
      <c r="DD1" s="16"/>
      <c r="DE1" s="16"/>
      <c r="DF1" s="16"/>
      <c r="DG1" s="16"/>
      <c r="DH1" s="16"/>
      <c r="DI1" s="16"/>
      <c r="DJ1" s="16"/>
      <c r="DK1" s="16"/>
      <c r="DL1" s="16"/>
      <c r="DM1" s="16"/>
      <c r="DN1" s="16"/>
      <c r="DO1" s="16"/>
      <c r="DP1" s="16"/>
      <c r="DQ1" s="16"/>
      <c r="DR1" s="16"/>
      <c r="DS1" s="16"/>
      <c r="DT1" s="16"/>
      <c r="DU1" s="16"/>
      <c r="DV1" s="16"/>
      <c r="DW1" s="16"/>
      <c r="DX1" s="16"/>
      <c r="DY1" s="16"/>
      <c r="DZ1" s="16"/>
      <c r="EA1" s="16"/>
      <c r="EB1" s="16"/>
      <c r="EC1" s="16"/>
      <c r="ED1" s="16"/>
      <c r="EE1" s="16"/>
      <c r="EF1" s="16"/>
      <c r="EG1" s="16"/>
      <c r="EH1" s="16"/>
      <c r="EI1" s="16"/>
      <c r="EJ1" s="16"/>
      <c r="EK1" s="16"/>
      <c r="EL1" s="16"/>
      <c r="EM1" s="16"/>
      <c r="EN1" s="16"/>
      <c r="EO1" s="16"/>
      <c r="EP1" s="16"/>
      <c r="EQ1" s="16"/>
      <c r="ER1" s="16"/>
      <c r="ES1" s="16"/>
      <c r="ET1" s="16"/>
      <c r="EU1" s="16"/>
      <c r="EV1" s="16"/>
      <c r="EW1" s="16"/>
      <c r="EX1" s="16"/>
      <c r="EY1" s="16"/>
      <c r="EZ1" s="16"/>
      <c r="FA1" s="16"/>
      <c r="FB1" s="16"/>
      <c r="FC1" s="16"/>
      <c r="FD1" s="16"/>
      <c r="FE1" s="16"/>
      <c r="FF1" s="16"/>
      <c r="FG1" s="16"/>
      <c r="FH1" s="16"/>
      <c r="FI1" s="16"/>
      <c r="FJ1" s="16"/>
      <c r="FK1" s="16"/>
      <c r="FL1" s="16"/>
      <c r="FM1" s="16"/>
      <c r="FN1" s="16"/>
      <c r="FO1" s="16"/>
      <c r="FP1" s="16"/>
    </row>
    <row r="2" spans="1:172" x14ac:dyDescent="0.35">
      <c r="A2" t="str">
        <f t="shared" ref="A2:A65" si="0">"ORD-2026-"&amp;TEXT(ROW()-1,"0000")</f>
        <v>ORD-2026-0001</v>
      </c>
      <c r="B2" s="2">
        <v>45660</v>
      </c>
      <c r="C2" t="str">
        <f>TEXT(tblSales[[#This Row],[Date]],"mmmm")</f>
        <v>January</v>
      </c>
      <c r="D2" t="s">
        <v>17</v>
      </c>
      <c r="E2" t="str">
        <f>_xlfn.XLOOKUP(tblSales[[#This Row],[Saleperson]],Lookup_Tables!$B$5:$B$16,Lookup_Tables!$C$5:$C$16)</f>
        <v>North</v>
      </c>
      <c r="F2" t="s">
        <v>87</v>
      </c>
      <c r="G2" t="str">
        <f>_xlfn.XLOOKUP(tblSales[[#This Row],[Customer]],Lookup_Tables!$I$5:$I$34,Lookup_Tables!$J$5:$J$34)</f>
        <v>Corporate</v>
      </c>
      <c r="H2" t="str">
        <f>_xlfn.XLOOKUP(tblSales[[#This Row],[Product]],Lookup_Tables!$F$5:$F$23,Lookup_Tables!$E$5:$E$23,"")</f>
        <v>Electronics</v>
      </c>
      <c r="I2" t="s">
        <v>38</v>
      </c>
      <c r="J2" s="11">
        <v>6</v>
      </c>
      <c r="K2" s="1">
        <f>_xlfn.XLOOKUP(tblSales[[#This Row],[Product]],Lookup_Tables!$F$5:$F$23,Lookup_Tables!$G$5:$G$23,"")</f>
        <v>6000</v>
      </c>
      <c r="L2" s="6">
        <f>_xlfn.XLOOKUP(tblSales[[#This Row],[Customer Type]],Lookup_Tables!$B$19:$B$21,Lookup_Tables!$C$19:$C$21,0)</f>
        <v>0.1</v>
      </c>
      <c r="M2" t="s">
        <v>32</v>
      </c>
      <c r="N2" s="11" t="str">
        <f>"Q"&amp;ROUNDUP(MONTH(tblSales[[#This Row],[Date]])/3,0)</f>
        <v>Q1</v>
      </c>
      <c r="O2" s="11">
        <f>YEAR(tblSales[[#This Row],[Date]])</f>
        <v>2025</v>
      </c>
      <c r="P2" s="1">
        <f>tblSales[[#This Row],[Quantity]]*tblSales[[#This Row],[Unit Price]]</f>
        <v>36000</v>
      </c>
      <c r="Q2" s="1">
        <f>tblSales[[#This Row],[Gross Sales]]*tblSales[[#This Row],[Discount%]]</f>
        <v>3600</v>
      </c>
      <c r="R2" s="1">
        <f>tblSales[[#This Row],[Gross Sales]]-tblSales[[#This Row],[Discount Amount]]</f>
        <v>32400</v>
      </c>
      <c r="U2" s="8"/>
      <c r="V2" s="7"/>
    </row>
    <row r="3" spans="1:172" x14ac:dyDescent="0.35">
      <c r="A3" t="str">
        <f t="shared" si="0"/>
        <v>ORD-2026-0002</v>
      </c>
      <c r="B3" s="2">
        <v>45662</v>
      </c>
      <c r="C3" t="str">
        <f>TEXT(tblSales[[#This Row],[Date]],"mmmm")</f>
        <v>January</v>
      </c>
      <c r="D3" t="s">
        <v>20</v>
      </c>
      <c r="E3" t="str">
        <f>_xlfn.XLOOKUP(tblSales[[#This Row],[Saleperson]],Lookup_Tables!$B$5:$B$16,Lookup_Tables!$C$5:$C$16)</f>
        <v>East</v>
      </c>
      <c r="F3" t="s">
        <v>89</v>
      </c>
      <c r="G3" t="str">
        <f>_xlfn.XLOOKUP(tblSales[[#This Row],[Customer]],Lookup_Tables!$I$5:$I$34,Lookup_Tables!$J$5:$J$34)</f>
        <v>Retail</v>
      </c>
      <c r="H3" t="str">
        <f>_xlfn.XLOOKUP(tblSales[[#This Row],[Product]],Lookup_Tables!$F$5:$F$23,Lookup_Tables!$E$5:$E$23,"")</f>
        <v>Furniture</v>
      </c>
      <c r="I3" t="s">
        <v>47</v>
      </c>
      <c r="J3" s="11">
        <v>10</v>
      </c>
      <c r="K3" s="1">
        <f>_xlfn.XLOOKUP(tblSales[[#This Row],[Product]],Lookup_Tables!$F$5:$F$23,Lookup_Tables!$G$5:$G$23,"")</f>
        <v>7500</v>
      </c>
      <c r="L3" s="12">
        <f>_xlfn.XLOOKUP(tblSales[[#This Row],[Customer Type]],Lookup_Tables!$B$19:$B$21,Lookup_Tables!$C$19:$C$21,0)</f>
        <v>0</v>
      </c>
      <c r="M3" t="s">
        <v>35</v>
      </c>
      <c r="N3" s="11" t="str">
        <f>"Q"&amp;ROUNDUP(MONTH(tblSales[[#This Row],[Date]])/3,0)</f>
        <v>Q1</v>
      </c>
      <c r="O3" s="11">
        <f>YEAR(tblSales[[#This Row],[Date]])</f>
        <v>2025</v>
      </c>
      <c r="P3" s="1">
        <f>tblSales[[#This Row],[Quantity]]*tblSales[[#This Row],[Unit Price]]</f>
        <v>75000</v>
      </c>
      <c r="Q3" s="1">
        <f>tblSales[[#This Row],[Gross Sales]]*tblSales[[#This Row],[Discount%]]</f>
        <v>0</v>
      </c>
      <c r="R3" s="1">
        <f>tblSales[[#This Row],[Gross Sales]]-tblSales[[#This Row],[Discount Amount]]</f>
        <v>75000</v>
      </c>
      <c r="U3" s="8"/>
      <c r="V3" s="7"/>
    </row>
    <row r="4" spans="1:172" x14ac:dyDescent="0.35">
      <c r="A4" t="str">
        <f t="shared" si="0"/>
        <v>ORD-2026-0003</v>
      </c>
      <c r="B4" s="2">
        <v>45665</v>
      </c>
      <c r="C4" t="str">
        <f>TEXT(tblSales[[#This Row],[Date]],"mmmm")</f>
        <v>January</v>
      </c>
      <c r="D4" t="s">
        <v>23</v>
      </c>
      <c r="E4" t="str">
        <f>_xlfn.XLOOKUP(tblSales[[#This Row],[Saleperson]],Lookup_Tables!$B$5:$B$16,Lookup_Tables!$C$5:$C$16)</f>
        <v>West</v>
      </c>
      <c r="F4" t="s">
        <v>68</v>
      </c>
      <c r="G4" t="str">
        <f>_xlfn.XLOOKUP(tblSales[[#This Row],[Customer]],Lookup_Tables!$I$5:$I$34,Lookup_Tables!$J$5:$J$34)</f>
        <v>Government</v>
      </c>
      <c r="H4" t="str">
        <f>_xlfn.XLOOKUP(tblSales[[#This Row],[Product]],Lookup_Tables!$F$5:$F$23,Lookup_Tables!$E$5:$E$23,"")</f>
        <v>Office Supplies</v>
      </c>
      <c r="I4" t="s">
        <v>50</v>
      </c>
      <c r="J4" s="11">
        <v>9</v>
      </c>
      <c r="K4" s="1">
        <f>_xlfn.XLOOKUP(tblSales[[#This Row],[Product]],Lookup_Tables!$F$5:$F$23,Lookup_Tables!$G$5:$G$23,"")</f>
        <v>180</v>
      </c>
      <c r="L4" s="12">
        <f>_xlfn.XLOOKUP(tblSales[[#This Row],[Customer Type]],Lookup_Tables!$B$19:$B$21,Lookup_Tables!$C$19:$C$21,0)</f>
        <v>0.15</v>
      </c>
      <c r="M4" t="s">
        <v>32</v>
      </c>
      <c r="N4" s="11" t="str">
        <f>"Q"&amp;ROUNDUP(MONTH(tblSales[[#This Row],[Date]])/3,0)</f>
        <v>Q1</v>
      </c>
      <c r="O4" s="11">
        <f>YEAR(tblSales[[#This Row],[Date]])</f>
        <v>2025</v>
      </c>
      <c r="P4" s="1">
        <f>tblSales[[#This Row],[Quantity]]*tblSales[[#This Row],[Unit Price]]</f>
        <v>1620</v>
      </c>
      <c r="Q4" s="1">
        <f>tblSales[[#This Row],[Gross Sales]]*tblSales[[#This Row],[Discount%]]</f>
        <v>243</v>
      </c>
      <c r="R4" s="1">
        <f>tblSales[[#This Row],[Gross Sales]]-tblSales[[#This Row],[Discount Amount]]</f>
        <v>1377</v>
      </c>
      <c r="U4" s="8"/>
      <c r="V4" s="7"/>
    </row>
    <row r="5" spans="1:172" x14ac:dyDescent="0.35">
      <c r="A5" t="str">
        <f t="shared" si="0"/>
        <v>ORD-2026-0004</v>
      </c>
      <c r="B5" s="2">
        <v>45666</v>
      </c>
      <c r="C5" t="str">
        <f>TEXT(tblSales[[#This Row],[Date]],"mmmm")</f>
        <v>January</v>
      </c>
      <c r="D5" t="s">
        <v>18</v>
      </c>
      <c r="E5" t="str">
        <f>_xlfn.XLOOKUP(tblSales[[#This Row],[Saleperson]],Lookup_Tables!$B$5:$B$16,Lookup_Tables!$C$5:$C$16)</f>
        <v>South</v>
      </c>
      <c r="F5" t="s">
        <v>65</v>
      </c>
      <c r="G5" t="str">
        <f>_xlfn.XLOOKUP(tblSales[[#This Row],[Customer]],Lookup_Tables!$I$5:$I$34,Lookup_Tables!$J$5:$J$34)</f>
        <v>Retail</v>
      </c>
      <c r="H5" t="str">
        <f>_xlfn.XLOOKUP(tblSales[[#This Row],[Product]],Lookup_Tables!$F$5:$F$23,Lookup_Tables!$E$5:$E$23,"")</f>
        <v>Electronics</v>
      </c>
      <c r="I5" t="s">
        <v>37</v>
      </c>
      <c r="J5" s="11">
        <v>7</v>
      </c>
      <c r="K5" s="1">
        <f>_xlfn.XLOOKUP(tblSales[[#This Row],[Product]],Lookup_Tables!$F$5:$F$23,Lookup_Tables!$G$5:$G$23,"")</f>
        <v>20000</v>
      </c>
      <c r="L5" s="12">
        <f>_xlfn.XLOOKUP(tblSales[[#This Row],[Customer Type]],Lookup_Tables!$B$19:$B$21,Lookup_Tables!$C$19:$C$21,0)</f>
        <v>0</v>
      </c>
      <c r="M5" t="s">
        <v>34</v>
      </c>
      <c r="N5" s="11" t="str">
        <f>"Q"&amp;ROUNDUP(MONTH(tblSales[[#This Row],[Date]])/3,0)</f>
        <v>Q1</v>
      </c>
      <c r="O5" s="11">
        <f>YEAR(tblSales[[#This Row],[Date]])</f>
        <v>2025</v>
      </c>
      <c r="P5" s="1">
        <f>tblSales[[#This Row],[Quantity]]*tblSales[[#This Row],[Unit Price]]</f>
        <v>140000</v>
      </c>
      <c r="Q5" s="1">
        <f>tblSales[[#This Row],[Gross Sales]]*tblSales[[#This Row],[Discount%]]</f>
        <v>0</v>
      </c>
      <c r="R5" s="1">
        <f>tblSales[[#This Row],[Gross Sales]]-tblSales[[#This Row],[Discount Amount]]</f>
        <v>140000</v>
      </c>
      <c r="U5" s="8"/>
      <c r="V5" s="7"/>
    </row>
    <row r="6" spans="1:172" x14ac:dyDescent="0.35">
      <c r="A6" t="str">
        <f t="shared" si="0"/>
        <v>ORD-2026-0005</v>
      </c>
      <c r="B6" s="2">
        <v>45668</v>
      </c>
      <c r="C6" t="str">
        <f>TEXT(tblSales[[#This Row],[Date]],"mmmm")</f>
        <v>January</v>
      </c>
      <c r="D6" t="s">
        <v>24</v>
      </c>
      <c r="E6" t="str">
        <f>_xlfn.XLOOKUP(tblSales[[#This Row],[Saleperson]],Lookup_Tables!$B$5:$B$16,Lookup_Tables!$C$5:$C$16)</f>
        <v>South</v>
      </c>
      <c r="F6" t="s">
        <v>72</v>
      </c>
      <c r="G6" t="str">
        <f>_xlfn.XLOOKUP(tblSales[[#This Row],[Customer]],Lookup_Tables!$I$5:$I$34,Lookup_Tables!$J$5:$J$34)</f>
        <v>Retail</v>
      </c>
      <c r="H6" t="str">
        <f>_xlfn.XLOOKUP(tblSales[[#This Row],[Product]],Lookup_Tables!$F$5:$F$23,Lookup_Tables!$E$5:$E$23,"")</f>
        <v>Electronics</v>
      </c>
      <c r="I6" t="s">
        <v>37</v>
      </c>
      <c r="J6" s="11">
        <v>10</v>
      </c>
      <c r="K6" s="1">
        <f>_xlfn.XLOOKUP(tblSales[[#This Row],[Product]],Lookup_Tables!$F$5:$F$23,Lookup_Tables!$G$5:$G$23,"")</f>
        <v>20000</v>
      </c>
      <c r="L6" s="12">
        <f>_xlfn.XLOOKUP(tblSales[[#This Row],[Customer Type]],Lookup_Tables!$B$19:$B$21,Lookup_Tables!$C$19:$C$21,0)</f>
        <v>0</v>
      </c>
      <c r="M6" t="s">
        <v>35</v>
      </c>
      <c r="N6" s="11" t="str">
        <f>"Q"&amp;ROUNDUP(MONTH(tblSales[[#This Row],[Date]])/3,0)</f>
        <v>Q1</v>
      </c>
      <c r="O6" s="11">
        <f>YEAR(tblSales[[#This Row],[Date]])</f>
        <v>2025</v>
      </c>
      <c r="P6" s="1">
        <f>tblSales[[#This Row],[Quantity]]*tblSales[[#This Row],[Unit Price]]</f>
        <v>200000</v>
      </c>
      <c r="Q6" s="1">
        <f>tblSales[[#This Row],[Gross Sales]]*tblSales[[#This Row],[Discount%]]</f>
        <v>0</v>
      </c>
      <c r="R6" s="1">
        <f>tblSales[[#This Row],[Gross Sales]]-tblSales[[#This Row],[Discount Amount]]</f>
        <v>200000</v>
      </c>
      <c r="U6" s="8"/>
      <c r="V6" s="7"/>
    </row>
    <row r="7" spans="1:172" x14ac:dyDescent="0.35">
      <c r="A7" t="str">
        <f t="shared" si="0"/>
        <v>ORD-2026-0006</v>
      </c>
      <c r="B7" s="2">
        <v>45671</v>
      </c>
      <c r="C7" t="str">
        <f>TEXT(tblSales[[#This Row],[Date]],"mmmm")</f>
        <v>January</v>
      </c>
      <c r="D7" t="s">
        <v>25</v>
      </c>
      <c r="E7" t="str">
        <f>_xlfn.XLOOKUP(tblSales[[#This Row],[Saleperson]],Lookup_Tables!$B$5:$B$16,Lookup_Tables!$C$5:$C$16)</f>
        <v>West</v>
      </c>
      <c r="F7" s="5" t="s">
        <v>67</v>
      </c>
      <c r="G7" t="str">
        <f>_xlfn.XLOOKUP(tblSales[[#This Row],[Customer]],Lookup_Tables!$I$5:$I$34,Lookup_Tables!$J$5:$J$34)</f>
        <v>Government</v>
      </c>
      <c r="H7" t="str">
        <f>_xlfn.XLOOKUP(tblSales[[#This Row],[Product]],Lookup_Tables!$F$5:$F$23,Lookup_Tables!$E$5:$E$23,"")</f>
        <v>Office Supplies</v>
      </c>
      <c r="I7" t="s">
        <v>56</v>
      </c>
      <c r="J7" s="11">
        <v>2</v>
      </c>
      <c r="K7" s="1">
        <f>_xlfn.XLOOKUP(tblSales[[#This Row],[Product]],Lookup_Tables!$F$5:$F$23,Lookup_Tables!$G$5:$G$23,"")</f>
        <v>190</v>
      </c>
      <c r="L7" s="12">
        <f>_xlfn.XLOOKUP(tblSales[[#This Row],[Customer Type]],Lookup_Tables!$B$19:$B$21,Lookup_Tables!$C$19:$C$21,0)</f>
        <v>0.15</v>
      </c>
      <c r="M7" t="s">
        <v>35</v>
      </c>
      <c r="N7" s="11" t="str">
        <f>"Q"&amp;ROUNDUP(MONTH(tblSales[[#This Row],[Date]])/3,0)</f>
        <v>Q1</v>
      </c>
      <c r="O7" s="11">
        <f>YEAR(tblSales[[#This Row],[Date]])</f>
        <v>2025</v>
      </c>
      <c r="P7" s="1">
        <f>tblSales[[#This Row],[Quantity]]*tblSales[[#This Row],[Unit Price]]</f>
        <v>380</v>
      </c>
      <c r="Q7" s="1">
        <f>tblSales[[#This Row],[Gross Sales]]*tblSales[[#This Row],[Discount%]]</f>
        <v>57</v>
      </c>
      <c r="R7" s="1">
        <f>tblSales[[#This Row],[Gross Sales]]-tblSales[[#This Row],[Discount Amount]]</f>
        <v>323</v>
      </c>
      <c r="U7" s="8"/>
      <c r="V7" s="7"/>
    </row>
    <row r="8" spans="1:172" x14ac:dyDescent="0.35">
      <c r="A8" t="str">
        <f t="shared" si="0"/>
        <v>ORD-2026-0007</v>
      </c>
      <c r="B8" s="2">
        <v>45671</v>
      </c>
      <c r="C8" t="str">
        <f>TEXT(tblSales[[#This Row],[Date]],"mmmm")</f>
        <v>January</v>
      </c>
      <c r="D8" t="s">
        <v>26</v>
      </c>
      <c r="E8" t="str">
        <f>_xlfn.XLOOKUP(tblSales[[#This Row],[Saleperson]],Lookup_Tables!$B$5:$B$16,Lookup_Tables!$C$5:$C$16)</f>
        <v>North</v>
      </c>
      <c r="F8" t="s">
        <v>71</v>
      </c>
      <c r="G8" t="str">
        <f>_xlfn.XLOOKUP(tblSales[[#This Row],[Customer]],Lookup_Tables!$I$5:$I$34,Lookup_Tables!$J$5:$J$34)</f>
        <v>Government</v>
      </c>
      <c r="H8" t="str">
        <f>_xlfn.XLOOKUP(tblSales[[#This Row],[Product]],Lookup_Tables!$F$5:$F$23,Lookup_Tables!$E$5:$E$23,"")</f>
        <v>Furniture</v>
      </c>
      <c r="I8" t="s">
        <v>43</v>
      </c>
      <c r="J8" s="11">
        <v>5</v>
      </c>
      <c r="K8" s="1">
        <f>_xlfn.XLOOKUP(tblSales[[#This Row],[Product]],Lookup_Tables!$F$5:$F$23,Lookup_Tables!$G$5:$G$23,"")</f>
        <v>4200</v>
      </c>
      <c r="L8" s="12">
        <f>_xlfn.XLOOKUP(tblSales[[#This Row],[Customer Type]],Lookup_Tables!$B$19:$B$21,Lookup_Tables!$C$19:$C$21,0)</f>
        <v>0.15</v>
      </c>
      <c r="M8" t="s">
        <v>33</v>
      </c>
      <c r="N8" s="11" t="str">
        <f>"Q"&amp;ROUNDUP(MONTH(tblSales[[#This Row],[Date]])/3,0)</f>
        <v>Q1</v>
      </c>
      <c r="O8" s="11">
        <f>YEAR(tblSales[[#This Row],[Date]])</f>
        <v>2025</v>
      </c>
      <c r="P8" s="1">
        <f>tblSales[[#This Row],[Quantity]]*tblSales[[#This Row],[Unit Price]]</f>
        <v>21000</v>
      </c>
      <c r="Q8" s="1">
        <f>tblSales[[#This Row],[Gross Sales]]*tblSales[[#This Row],[Discount%]]</f>
        <v>3150</v>
      </c>
      <c r="R8" s="1">
        <f>tblSales[[#This Row],[Gross Sales]]-tblSales[[#This Row],[Discount Amount]]</f>
        <v>17850</v>
      </c>
      <c r="U8" s="8"/>
      <c r="V8" s="7"/>
    </row>
    <row r="9" spans="1:172" x14ac:dyDescent="0.35">
      <c r="A9" t="str">
        <f t="shared" si="0"/>
        <v>ORD-2026-0008</v>
      </c>
      <c r="B9" s="2">
        <v>45671</v>
      </c>
      <c r="C9" t="str">
        <f>TEXT(tblSales[[#This Row],[Date]],"mmmm")</f>
        <v>January</v>
      </c>
      <c r="D9" t="s">
        <v>17</v>
      </c>
      <c r="E9" t="str">
        <f>_xlfn.XLOOKUP(tblSales[[#This Row],[Saleperson]],Lookup_Tables!$B$5:$B$16,Lookup_Tables!$C$5:$C$16)</f>
        <v>North</v>
      </c>
      <c r="F9" t="s">
        <v>90</v>
      </c>
      <c r="G9" t="str">
        <f>_xlfn.XLOOKUP(tblSales[[#This Row],[Customer]],Lookup_Tables!$I$5:$I$34,Lookup_Tables!$J$5:$J$34)</f>
        <v>Corporate</v>
      </c>
      <c r="H9" t="str">
        <f>_xlfn.XLOOKUP(tblSales[[#This Row],[Product]],Lookup_Tables!$F$5:$F$23,Lookup_Tables!$E$5:$E$23,"")</f>
        <v>Office Supplies</v>
      </c>
      <c r="I9" t="s">
        <v>56</v>
      </c>
      <c r="J9" s="11">
        <v>8</v>
      </c>
      <c r="K9" s="1">
        <f>_xlfn.XLOOKUP(tblSales[[#This Row],[Product]],Lookup_Tables!$F$5:$F$23,Lookup_Tables!$G$5:$G$23,"")</f>
        <v>190</v>
      </c>
      <c r="L9" s="12">
        <f>_xlfn.XLOOKUP(tblSales[[#This Row],[Customer Type]],Lookup_Tables!$B$19:$B$21,Lookup_Tables!$C$19:$C$21,0)</f>
        <v>0.1</v>
      </c>
      <c r="M9" t="s">
        <v>32</v>
      </c>
      <c r="N9" s="11" t="str">
        <f>"Q"&amp;ROUNDUP(MONTH(tblSales[[#This Row],[Date]])/3,0)</f>
        <v>Q1</v>
      </c>
      <c r="O9" s="11">
        <f>YEAR(tblSales[[#This Row],[Date]])</f>
        <v>2025</v>
      </c>
      <c r="P9" s="1">
        <f>tblSales[[#This Row],[Quantity]]*tblSales[[#This Row],[Unit Price]]</f>
        <v>1520</v>
      </c>
      <c r="Q9" s="1">
        <f>tblSales[[#This Row],[Gross Sales]]*tblSales[[#This Row],[Discount%]]</f>
        <v>152</v>
      </c>
      <c r="R9" s="1">
        <f>tblSales[[#This Row],[Gross Sales]]-tblSales[[#This Row],[Discount Amount]]</f>
        <v>1368</v>
      </c>
      <c r="U9" s="8"/>
      <c r="V9" s="7"/>
    </row>
    <row r="10" spans="1:172" x14ac:dyDescent="0.35">
      <c r="A10" t="str">
        <f t="shared" si="0"/>
        <v>ORD-2026-0009</v>
      </c>
      <c r="B10" s="2">
        <v>45672</v>
      </c>
      <c r="C10" t="str">
        <f>TEXT(tblSales[[#This Row],[Date]],"mmmm")</f>
        <v>January</v>
      </c>
      <c r="D10" t="s">
        <v>27</v>
      </c>
      <c r="E10" t="str">
        <f>_xlfn.XLOOKUP(tblSales[[#This Row],[Saleperson]],Lookup_Tables!$B$5:$B$16,Lookup_Tables!$C$5:$C$16)</f>
        <v>East</v>
      </c>
      <c r="F10" t="s">
        <v>65</v>
      </c>
      <c r="G10" t="str">
        <f>_xlfn.XLOOKUP(tblSales[[#This Row],[Customer]],Lookup_Tables!$I$5:$I$34,Lookup_Tables!$J$5:$J$34)</f>
        <v>Retail</v>
      </c>
      <c r="H10" t="str">
        <f>_xlfn.XLOOKUP(tblSales[[#This Row],[Product]],Lookup_Tables!$F$5:$F$23,Lookup_Tables!$E$5:$E$23,"")</f>
        <v>Furniture</v>
      </c>
      <c r="I10" t="s">
        <v>45</v>
      </c>
      <c r="J10" s="11">
        <v>1</v>
      </c>
      <c r="K10" s="1">
        <f>_xlfn.XLOOKUP(tblSales[[#This Row],[Product]],Lookup_Tables!$F$5:$F$23,Lookup_Tables!$G$5:$G$23,"")</f>
        <v>5200</v>
      </c>
      <c r="L10" s="12">
        <f>_xlfn.XLOOKUP(tblSales[[#This Row],[Customer Type]],Lookup_Tables!$B$19:$B$21,Lookup_Tables!$C$19:$C$21,0)</f>
        <v>0</v>
      </c>
      <c r="M10" t="s">
        <v>35</v>
      </c>
      <c r="N10" s="11" t="str">
        <f>"Q"&amp;ROUNDUP(MONTH(tblSales[[#This Row],[Date]])/3,0)</f>
        <v>Q1</v>
      </c>
      <c r="O10" s="11">
        <f>YEAR(tblSales[[#This Row],[Date]])</f>
        <v>2025</v>
      </c>
      <c r="P10" s="1">
        <f>tblSales[[#This Row],[Quantity]]*tblSales[[#This Row],[Unit Price]]</f>
        <v>5200</v>
      </c>
      <c r="Q10" s="1">
        <f>tblSales[[#This Row],[Gross Sales]]*tblSales[[#This Row],[Discount%]]</f>
        <v>0</v>
      </c>
      <c r="R10" s="1">
        <f>tblSales[[#This Row],[Gross Sales]]-tblSales[[#This Row],[Discount Amount]]</f>
        <v>5200</v>
      </c>
      <c r="U10" s="8"/>
      <c r="V10" s="7"/>
    </row>
    <row r="11" spans="1:172" x14ac:dyDescent="0.35">
      <c r="A11" t="str">
        <f t="shared" si="0"/>
        <v>ORD-2026-0010</v>
      </c>
      <c r="B11" s="2">
        <v>45672</v>
      </c>
      <c r="C11" t="str">
        <f>TEXT(tblSales[[#This Row],[Date]],"mmmm")</f>
        <v>January</v>
      </c>
      <c r="D11" t="s">
        <v>28</v>
      </c>
      <c r="E11" t="str">
        <f>_xlfn.XLOOKUP(tblSales[[#This Row],[Saleperson]],Lookup_Tables!$B$5:$B$16,Lookup_Tables!$C$5:$C$16)</f>
        <v>South</v>
      </c>
      <c r="F11" t="s">
        <v>66</v>
      </c>
      <c r="G11" t="str">
        <f>_xlfn.XLOOKUP(tblSales[[#This Row],[Customer]],Lookup_Tables!$I$5:$I$34,Lookup_Tables!$J$5:$J$34)</f>
        <v>Retail</v>
      </c>
      <c r="H11" t="str">
        <f>_xlfn.XLOOKUP(tblSales[[#This Row],[Product]],Lookup_Tables!$F$5:$F$23,Lookup_Tables!$E$5:$E$23,"")</f>
        <v>Electronics</v>
      </c>
      <c r="I11" t="s">
        <v>39</v>
      </c>
      <c r="J11" s="11">
        <v>7</v>
      </c>
      <c r="K11" s="1">
        <f>_xlfn.XLOOKUP(tblSales[[#This Row],[Product]],Lookup_Tables!$F$5:$F$23,Lookup_Tables!$G$5:$G$23,"")</f>
        <v>9500</v>
      </c>
      <c r="L11" s="12">
        <f>_xlfn.XLOOKUP(tblSales[[#This Row],[Customer Type]],Lookup_Tables!$B$19:$B$21,Lookup_Tables!$C$19:$C$21,0)</f>
        <v>0</v>
      </c>
      <c r="M11" t="s">
        <v>32</v>
      </c>
      <c r="N11" s="11" t="str">
        <f>"Q"&amp;ROUNDUP(MONTH(tblSales[[#This Row],[Date]])/3,0)</f>
        <v>Q1</v>
      </c>
      <c r="O11" s="11">
        <f>YEAR(tblSales[[#This Row],[Date]])</f>
        <v>2025</v>
      </c>
      <c r="P11" s="1">
        <f>tblSales[[#This Row],[Quantity]]*tblSales[[#This Row],[Unit Price]]</f>
        <v>66500</v>
      </c>
      <c r="Q11" s="1">
        <f>tblSales[[#This Row],[Gross Sales]]*tblSales[[#This Row],[Discount%]]</f>
        <v>0</v>
      </c>
      <c r="R11" s="1">
        <f>tblSales[[#This Row],[Gross Sales]]-tblSales[[#This Row],[Discount Amount]]</f>
        <v>66500</v>
      </c>
      <c r="U11" s="8"/>
      <c r="V11" s="7"/>
    </row>
    <row r="12" spans="1:172" x14ac:dyDescent="0.35">
      <c r="A12" t="str">
        <f t="shared" si="0"/>
        <v>ORD-2026-0011</v>
      </c>
      <c r="B12" s="2">
        <v>45675</v>
      </c>
      <c r="C12" t="str">
        <f>TEXT(tblSales[[#This Row],[Date]],"mmmm")</f>
        <v>January</v>
      </c>
      <c r="D12" t="s">
        <v>19</v>
      </c>
      <c r="E12" t="str">
        <f>_xlfn.XLOOKUP(tblSales[[#This Row],[Saleperson]],Lookup_Tables!$B$5:$B$16,Lookup_Tables!$C$5:$C$16)</f>
        <v>West</v>
      </c>
      <c r="F12" t="s">
        <v>65</v>
      </c>
      <c r="G12" t="str">
        <f>_xlfn.XLOOKUP(tblSales[[#This Row],[Customer]],Lookup_Tables!$I$5:$I$34,Lookup_Tables!$J$5:$J$34)</f>
        <v>Retail</v>
      </c>
      <c r="H12" t="str">
        <f>_xlfn.XLOOKUP(tblSales[[#This Row],[Product]],Lookup_Tables!$F$5:$F$23,Lookup_Tables!$E$5:$E$23,"")</f>
        <v>Office Supplies</v>
      </c>
      <c r="I12" t="s">
        <v>57</v>
      </c>
      <c r="J12" s="11">
        <v>8</v>
      </c>
      <c r="K12" s="1">
        <f>_xlfn.XLOOKUP(tblSales[[#This Row],[Product]],Lookup_Tables!$F$5:$F$23,Lookup_Tables!$G$5:$G$23,"")</f>
        <v>5000</v>
      </c>
      <c r="L12" s="12">
        <f>_xlfn.XLOOKUP(tblSales[[#This Row],[Customer Type]],Lookup_Tables!$B$19:$B$21,Lookup_Tables!$C$19:$C$21,0)</f>
        <v>0</v>
      </c>
      <c r="M12" t="s">
        <v>35</v>
      </c>
      <c r="N12" s="11" t="str">
        <f>"Q"&amp;ROUNDUP(MONTH(tblSales[[#This Row],[Date]])/3,0)</f>
        <v>Q1</v>
      </c>
      <c r="O12" s="11">
        <f>YEAR(tblSales[[#This Row],[Date]])</f>
        <v>2025</v>
      </c>
      <c r="P12" s="1">
        <f>tblSales[[#This Row],[Quantity]]*tblSales[[#This Row],[Unit Price]]</f>
        <v>40000</v>
      </c>
      <c r="Q12" s="1">
        <f>tblSales[[#This Row],[Gross Sales]]*tblSales[[#This Row],[Discount%]]</f>
        <v>0</v>
      </c>
      <c r="R12" s="1">
        <f>tblSales[[#This Row],[Gross Sales]]-tblSales[[#This Row],[Discount Amount]]</f>
        <v>40000</v>
      </c>
      <c r="U12" s="8"/>
      <c r="V12" s="7"/>
    </row>
    <row r="13" spans="1:172" x14ac:dyDescent="0.35">
      <c r="A13" t="str">
        <f t="shared" si="0"/>
        <v>ORD-2026-0012</v>
      </c>
      <c r="B13" s="2">
        <v>45678</v>
      </c>
      <c r="C13" t="str">
        <f>TEXT(tblSales[[#This Row],[Date]],"mmmm")</f>
        <v>January</v>
      </c>
      <c r="D13" t="s">
        <v>23</v>
      </c>
      <c r="E13" t="str">
        <f>_xlfn.XLOOKUP(tblSales[[#This Row],[Saleperson]],Lookup_Tables!$B$5:$B$16,Lookup_Tables!$C$5:$C$16)</f>
        <v>West</v>
      </c>
      <c r="F13" t="s">
        <v>66</v>
      </c>
      <c r="G13" t="str">
        <f>_xlfn.XLOOKUP(tblSales[[#This Row],[Customer]],Lookup_Tables!$I$5:$I$34,Lookup_Tables!$J$5:$J$34)</f>
        <v>Retail</v>
      </c>
      <c r="H13" t="str">
        <f>_xlfn.XLOOKUP(tblSales[[#This Row],[Product]],Lookup_Tables!$F$5:$F$23,Lookup_Tables!$E$5:$E$23,"")</f>
        <v>Electronics</v>
      </c>
      <c r="I13" t="s">
        <v>37</v>
      </c>
      <c r="J13" s="11">
        <v>4</v>
      </c>
      <c r="K13" s="1">
        <f>_xlfn.XLOOKUP(tblSales[[#This Row],[Product]],Lookup_Tables!$F$5:$F$23,Lookup_Tables!$G$5:$G$23,"")</f>
        <v>20000</v>
      </c>
      <c r="L13" s="12">
        <f>_xlfn.XLOOKUP(tblSales[[#This Row],[Customer Type]],Lookup_Tables!$B$19:$B$21,Lookup_Tables!$C$19:$C$21,0)</f>
        <v>0</v>
      </c>
      <c r="M13" t="s">
        <v>32</v>
      </c>
      <c r="N13" s="11" t="str">
        <f>"Q"&amp;ROUNDUP(MONTH(tblSales[[#This Row],[Date]])/3,0)</f>
        <v>Q1</v>
      </c>
      <c r="O13" s="11">
        <f>YEAR(tblSales[[#This Row],[Date]])</f>
        <v>2025</v>
      </c>
      <c r="P13" s="1">
        <f>tblSales[[#This Row],[Quantity]]*tblSales[[#This Row],[Unit Price]]</f>
        <v>80000</v>
      </c>
      <c r="Q13" s="1">
        <f>tblSales[[#This Row],[Gross Sales]]*tblSales[[#This Row],[Discount%]]</f>
        <v>0</v>
      </c>
      <c r="R13" s="1">
        <f>tblSales[[#This Row],[Gross Sales]]-tblSales[[#This Row],[Discount Amount]]</f>
        <v>80000</v>
      </c>
      <c r="U13" s="8"/>
      <c r="V13" s="7"/>
    </row>
    <row r="14" spans="1:172" x14ac:dyDescent="0.35">
      <c r="A14" t="str">
        <f t="shared" si="0"/>
        <v>ORD-2026-0013</v>
      </c>
      <c r="B14" s="2">
        <v>45681</v>
      </c>
      <c r="C14" t="str">
        <f>TEXT(tblSales[[#This Row],[Date]],"mmmm")</f>
        <v>January</v>
      </c>
      <c r="D14" t="s">
        <v>24</v>
      </c>
      <c r="E14" t="str">
        <f>_xlfn.XLOOKUP(tblSales[[#This Row],[Saleperson]],Lookup_Tables!$B$5:$B$16,Lookup_Tables!$C$5:$C$16)</f>
        <v>South</v>
      </c>
      <c r="F14" t="s">
        <v>67</v>
      </c>
      <c r="G14" t="str">
        <f>_xlfn.XLOOKUP(tblSales[[#This Row],[Customer]],Lookup_Tables!$I$5:$I$34,Lookup_Tables!$J$5:$J$34)</f>
        <v>Government</v>
      </c>
      <c r="H14" t="str">
        <f>_xlfn.XLOOKUP(tblSales[[#This Row],[Product]],Lookup_Tables!$F$5:$F$23,Lookup_Tables!$E$5:$E$23,"")</f>
        <v>Furniture</v>
      </c>
      <c r="I14" t="s">
        <v>43</v>
      </c>
      <c r="J14" s="11">
        <v>10</v>
      </c>
      <c r="K14" s="1">
        <f>_xlfn.XLOOKUP(tblSales[[#This Row],[Product]],Lookup_Tables!$F$5:$F$23,Lookup_Tables!$G$5:$G$23,"")</f>
        <v>4200</v>
      </c>
      <c r="L14" s="12">
        <f>_xlfn.XLOOKUP(tblSales[[#This Row],[Customer Type]],Lookup_Tables!$B$19:$B$21,Lookup_Tables!$C$19:$C$21,0)</f>
        <v>0.15</v>
      </c>
      <c r="M14" t="s">
        <v>34</v>
      </c>
      <c r="N14" s="11" t="str">
        <f>"Q"&amp;ROUNDUP(MONTH(tblSales[[#This Row],[Date]])/3,0)</f>
        <v>Q1</v>
      </c>
      <c r="O14" s="11">
        <f>YEAR(tblSales[[#This Row],[Date]])</f>
        <v>2025</v>
      </c>
      <c r="P14" s="1">
        <f>tblSales[[#This Row],[Quantity]]*tblSales[[#This Row],[Unit Price]]</f>
        <v>42000</v>
      </c>
      <c r="Q14" s="1">
        <f>tblSales[[#This Row],[Gross Sales]]*tblSales[[#This Row],[Discount%]]</f>
        <v>6300</v>
      </c>
      <c r="R14" s="1">
        <f>tblSales[[#This Row],[Gross Sales]]-tblSales[[#This Row],[Discount Amount]]</f>
        <v>35700</v>
      </c>
      <c r="U14" s="8"/>
      <c r="V14" s="7"/>
    </row>
    <row r="15" spans="1:172" x14ac:dyDescent="0.35">
      <c r="A15" t="str">
        <f t="shared" si="0"/>
        <v>ORD-2026-0014</v>
      </c>
      <c r="B15" s="2">
        <v>45683</v>
      </c>
      <c r="C15" t="str">
        <f>TEXT(tblSales[[#This Row],[Date]],"mmmm")</f>
        <v>January</v>
      </c>
      <c r="D15" t="s">
        <v>25</v>
      </c>
      <c r="E15" t="str">
        <f>_xlfn.XLOOKUP(tblSales[[#This Row],[Saleperson]],Lookup_Tables!$B$5:$B$16,Lookup_Tables!$C$5:$C$16)</f>
        <v>West</v>
      </c>
      <c r="F15" t="s">
        <v>69</v>
      </c>
      <c r="G15" t="str">
        <f>_xlfn.XLOOKUP(tblSales[[#This Row],[Customer]],Lookup_Tables!$I$5:$I$34,Lookup_Tables!$J$5:$J$34)</f>
        <v>Retail</v>
      </c>
      <c r="H15" t="str">
        <f>_xlfn.XLOOKUP(tblSales[[#This Row],[Product]],Lookup_Tables!$F$5:$F$23,Lookup_Tables!$E$5:$E$23,"")</f>
        <v>Electronics</v>
      </c>
      <c r="I15" t="s">
        <v>41</v>
      </c>
      <c r="J15" s="11">
        <v>3</v>
      </c>
      <c r="K15" s="1">
        <f>_xlfn.XLOOKUP(tblSales[[#This Row],[Product]],Lookup_Tables!$F$5:$F$23,Lookup_Tables!$G$5:$G$23,"")</f>
        <v>720</v>
      </c>
      <c r="L15" s="12">
        <f>_xlfn.XLOOKUP(tblSales[[#This Row],[Customer Type]],Lookup_Tables!$B$19:$B$21,Lookup_Tables!$C$19:$C$21,0)</f>
        <v>0</v>
      </c>
      <c r="M15" t="s">
        <v>35</v>
      </c>
      <c r="N15" s="11" t="str">
        <f>"Q"&amp;ROUNDUP(MONTH(tblSales[[#This Row],[Date]])/3,0)</f>
        <v>Q1</v>
      </c>
      <c r="O15" s="11">
        <f>YEAR(tblSales[[#This Row],[Date]])</f>
        <v>2025</v>
      </c>
      <c r="P15" s="1">
        <f>tblSales[[#This Row],[Quantity]]*tblSales[[#This Row],[Unit Price]]</f>
        <v>2160</v>
      </c>
      <c r="Q15" s="1">
        <f>tblSales[[#This Row],[Gross Sales]]*tblSales[[#This Row],[Discount%]]</f>
        <v>0</v>
      </c>
      <c r="R15" s="1">
        <f>tblSales[[#This Row],[Gross Sales]]-tblSales[[#This Row],[Discount Amount]]</f>
        <v>2160</v>
      </c>
      <c r="U15" s="8"/>
      <c r="V15" s="7"/>
    </row>
    <row r="16" spans="1:172" x14ac:dyDescent="0.35">
      <c r="A16" t="str">
        <f t="shared" si="0"/>
        <v>ORD-2026-0015</v>
      </c>
      <c r="B16" s="2">
        <v>45689</v>
      </c>
      <c r="C16" t="str">
        <f>TEXT(tblSales[[#This Row],[Date]],"mmmm")</f>
        <v>February</v>
      </c>
      <c r="D16" t="s">
        <v>17</v>
      </c>
      <c r="E16" t="str">
        <f>_xlfn.XLOOKUP(tblSales[[#This Row],[Saleperson]],Lookup_Tables!$B$5:$B$16,Lookup_Tables!$C$5:$C$16)</f>
        <v>North</v>
      </c>
      <c r="F16" t="s">
        <v>68</v>
      </c>
      <c r="G16" t="str">
        <f>_xlfn.XLOOKUP(tblSales[[#This Row],[Customer]],Lookup_Tables!$I$5:$I$34,Lookup_Tables!$J$5:$J$34)</f>
        <v>Government</v>
      </c>
      <c r="H16" t="str">
        <f>_xlfn.XLOOKUP(tblSales[[#This Row],[Product]],Lookup_Tables!$F$5:$F$23,Lookup_Tables!$E$5:$E$23,"")</f>
        <v>Furniture</v>
      </c>
      <c r="I16" t="s">
        <v>47</v>
      </c>
      <c r="J16" s="11">
        <v>2</v>
      </c>
      <c r="K16" s="1">
        <f>_xlfn.XLOOKUP(tblSales[[#This Row],[Product]],Lookup_Tables!$F$5:$F$23,Lookup_Tables!$G$5:$G$23,"")</f>
        <v>7500</v>
      </c>
      <c r="L16" s="12">
        <f>_xlfn.XLOOKUP(tblSales[[#This Row],[Customer Type]],Lookup_Tables!$B$19:$B$21,Lookup_Tables!$C$19:$C$21,0)</f>
        <v>0.15</v>
      </c>
      <c r="M16" t="s">
        <v>33</v>
      </c>
      <c r="N16" s="11" t="str">
        <f>"Q"&amp;ROUNDUP(MONTH(tblSales[[#This Row],[Date]])/3,0)</f>
        <v>Q1</v>
      </c>
      <c r="O16" s="11">
        <f>YEAR(tblSales[[#This Row],[Date]])</f>
        <v>2025</v>
      </c>
      <c r="P16" s="1">
        <f>tblSales[[#This Row],[Quantity]]*tblSales[[#This Row],[Unit Price]]</f>
        <v>15000</v>
      </c>
      <c r="Q16" s="1">
        <f>tblSales[[#This Row],[Gross Sales]]*tblSales[[#This Row],[Discount%]]</f>
        <v>2250</v>
      </c>
      <c r="R16" s="1">
        <f>tblSales[[#This Row],[Gross Sales]]-tblSales[[#This Row],[Discount Amount]]</f>
        <v>12750</v>
      </c>
      <c r="U16" s="8"/>
      <c r="V16" s="7"/>
    </row>
    <row r="17" spans="1:22" x14ac:dyDescent="0.35">
      <c r="A17" t="str">
        <f t="shared" si="0"/>
        <v>ORD-2026-0016</v>
      </c>
      <c r="B17" s="2">
        <v>45689</v>
      </c>
      <c r="C17" t="str">
        <f>TEXT(tblSales[[#This Row],[Date]],"mmmm")</f>
        <v>February</v>
      </c>
      <c r="D17" t="s">
        <v>26</v>
      </c>
      <c r="E17" t="str">
        <f>_xlfn.XLOOKUP(tblSales[[#This Row],[Saleperson]],Lookup_Tables!$B$5:$B$16,Lookup_Tables!$C$5:$C$16)</f>
        <v>North</v>
      </c>
      <c r="F17" s="5" t="s">
        <v>67</v>
      </c>
      <c r="G17" t="str">
        <f>_xlfn.XLOOKUP(tblSales[[#This Row],[Customer]],Lookup_Tables!$I$5:$I$34,Lookup_Tables!$J$5:$J$34)</f>
        <v>Government</v>
      </c>
      <c r="H17" t="str">
        <f>_xlfn.XLOOKUP(tblSales[[#This Row],[Product]],Lookup_Tables!$F$5:$F$23,Lookup_Tables!$E$5:$E$23,"")</f>
        <v>Furniture</v>
      </c>
      <c r="I17" t="s">
        <v>44</v>
      </c>
      <c r="J17" s="11">
        <v>9</v>
      </c>
      <c r="K17" s="1">
        <f>_xlfn.XLOOKUP(tblSales[[#This Row],[Product]],Lookup_Tables!$F$5:$F$23,Lookup_Tables!$G$5:$G$23,"")</f>
        <v>6900</v>
      </c>
      <c r="L17" s="12">
        <f>_xlfn.XLOOKUP(tblSales[[#This Row],[Customer Type]],Lookup_Tables!$B$19:$B$21,Lookup_Tables!$C$19:$C$21,0)</f>
        <v>0.15</v>
      </c>
      <c r="M17" t="s">
        <v>34</v>
      </c>
      <c r="N17" s="11" t="str">
        <f>"Q"&amp;ROUNDUP(MONTH(tblSales[[#This Row],[Date]])/3,0)</f>
        <v>Q1</v>
      </c>
      <c r="O17" s="11">
        <f>YEAR(tblSales[[#This Row],[Date]])</f>
        <v>2025</v>
      </c>
      <c r="P17" s="1">
        <f>tblSales[[#This Row],[Quantity]]*tblSales[[#This Row],[Unit Price]]</f>
        <v>62100</v>
      </c>
      <c r="Q17" s="1">
        <f>tblSales[[#This Row],[Gross Sales]]*tblSales[[#This Row],[Discount%]]</f>
        <v>9315</v>
      </c>
      <c r="R17" s="1">
        <f>tblSales[[#This Row],[Gross Sales]]-tblSales[[#This Row],[Discount Amount]]</f>
        <v>52785</v>
      </c>
      <c r="U17" s="8"/>
      <c r="V17" s="7"/>
    </row>
    <row r="18" spans="1:22" x14ac:dyDescent="0.35">
      <c r="A18" t="str">
        <f t="shared" si="0"/>
        <v>ORD-2026-0017</v>
      </c>
      <c r="B18" s="2">
        <v>45691</v>
      </c>
      <c r="C18" t="str">
        <f>TEXT(tblSales[[#This Row],[Date]],"mmmm")</f>
        <v>February</v>
      </c>
      <c r="D18" t="s">
        <v>18</v>
      </c>
      <c r="E18" t="str">
        <f>_xlfn.XLOOKUP(tblSales[[#This Row],[Saleperson]],Lookup_Tables!$B$5:$B$16,Lookup_Tables!$C$5:$C$16)</f>
        <v>South</v>
      </c>
      <c r="F18" t="s">
        <v>69</v>
      </c>
      <c r="G18" t="str">
        <f>_xlfn.XLOOKUP(tblSales[[#This Row],[Customer]],Lookup_Tables!$I$5:$I$34,Lookup_Tables!$J$5:$J$34)</f>
        <v>Retail</v>
      </c>
      <c r="H18" t="str">
        <f>_xlfn.XLOOKUP(tblSales[[#This Row],[Product]],Lookup_Tables!$F$5:$F$23,Lookup_Tables!$E$5:$E$23,"")</f>
        <v>Furniture</v>
      </c>
      <c r="I18" t="s">
        <v>45</v>
      </c>
      <c r="J18" s="11">
        <v>10</v>
      </c>
      <c r="K18" s="1">
        <f>_xlfn.XLOOKUP(tblSales[[#This Row],[Product]],Lookup_Tables!$F$5:$F$23,Lookup_Tables!$G$5:$G$23,"")</f>
        <v>5200</v>
      </c>
      <c r="L18" s="12">
        <f>_xlfn.XLOOKUP(tblSales[[#This Row],[Customer Type]],Lookup_Tables!$B$19:$B$21,Lookup_Tables!$C$19:$C$21,0)</f>
        <v>0</v>
      </c>
      <c r="M18" t="s">
        <v>35</v>
      </c>
      <c r="N18" s="11" t="str">
        <f>"Q"&amp;ROUNDUP(MONTH(tblSales[[#This Row],[Date]])/3,0)</f>
        <v>Q1</v>
      </c>
      <c r="O18" s="11">
        <f>YEAR(tblSales[[#This Row],[Date]])</f>
        <v>2025</v>
      </c>
      <c r="P18" s="1">
        <f>tblSales[[#This Row],[Quantity]]*tblSales[[#This Row],[Unit Price]]</f>
        <v>52000</v>
      </c>
      <c r="Q18" s="1">
        <f>tblSales[[#This Row],[Gross Sales]]*tblSales[[#This Row],[Discount%]]</f>
        <v>0</v>
      </c>
      <c r="R18" s="1">
        <f>tblSales[[#This Row],[Gross Sales]]-tblSales[[#This Row],[Discount Amount]]</f>
        <v>52000</v>
      </c>
    </row>
    <row r="19" spans="1:22" x14ac:dyDescent="0.35">
      <c r="A19" t="str">
        <f t="shared" si="0"/>
        <v>ORD-2026-0018</v>
      </c>
      <c r="B19" s="2">
        <v>45693</v>
      </c>
      <c r="C19" t="str">
        <f>TEXT(tblSales[[#This Row],[Date]],"mmmm")</f>
        <v>February</v>
      </c>
      <c r="D19" t="s">
        <v>27</v>
      </c>
      <c r="E19" t="str">
        <f>_xlfn.XLOOKUP(tblSales[[#This Row],[Saleperson]],Lookup_Tables!$B$5:$B$16,Lookup_Tables!$C$5:$C$16)</f>
        <v>East</v>
      </c>
      <c r="F19" t="s">
        <v>69</v>
      </c>
      <c r="G19" t="str">
        <f>_xlfn.XLOOKUP(tblSales[[#This Row],[Customer]],Lookup_Tables!$I$5:$I$34,Lookup_Tables!$J$5:$J$34)</f>
        <v>Retail</v>
      </c>
      <c r="H19" t="str">
        <f>_xlfn.XLOOKUP(tblSales[[#This Row],[Product]],Lookup_Tables!$F$5:$F$23,Lookup_Tables!$E$5:$E$23,"")</f>
        <v>Office Supplies</v>
      </c>
      <c r="I19" t="s">
        <v>50</v>
      </c>
      <c r="J19" s="11">
        <v>4</v>
      </c>
      <c r="K19" s="1">
        <f>_xlfn.XLOOKUP(tblSales[[#This Row],[Product]],Lookup_Tables!$F$5:$F$23,Lookup_Tables!$G$5:$G$23,"")</f>
        <v>180</v>
      </c>
      <c r="L19" s="12">
        <f>_xlfn.XLOOKUP(tblSales[[#This Row],[Customer Type]],Lookup_Tables!$B$19:$B$21,Lookup_Tables!$C$19:$C$21,0)</f>
        <v>0</v>
      </c>
      <c r="M19" t="s">
        <v>34</v>
      </c>
      <c r="N19" s="11" t="str">
        <f>"Q"&amp;ROUNDUP(MONTH(tblSales[[#This Row],[Date]])/3,0)</f>
        <v>Q1</v>
      </c>
      <c r="O19" s="11">
        <f>YEAR(tblSales[[#This Row],[Date]])</f>
        <v>2025</v>
      </c>
      <c r="P19" s="1">
        <f>tblSales[[#This Row],[Quantity]]*tblSales[[#This Row],[Unit Price]]</f>
        <v>720</v>
      </c>
      <c r="Q19" s="1">
        <f>tblSales[[#This Row],[Gross Sales]]*tblSales[[#This Row],[Discount%]]</f>
        <v>0</v>
      </c>
      <c r="R19" s="1">
        <f>tblSales[[#This Row],[Gross Sales]]-tblSales[[#This Row],[Discount Amount]]</f>
        <v>720</v>
      </c>
    </row>
    <row r="20" spans="1:22" x14ac:dyDescent="0.35">
      <c r="A20" t="str">
        <f t="shared" si="0"/>
        <v>ORD-2026-0019</v>
      </c>
      <c r="B20" s="2">
        <v>45696</v>
      </c>
      <c r="C20" t="str">
        <f>TEXT(tblSales[[#This Row],[Date]],"mmmm")</f>
        <v>February</v>
      </c>
      <c r="D20" t="s">
        <v>17</v>
      </c>
      <c r="E20" t="str">
        <f>_xlfn.XLOOKUP(tblSales[[#This Row],[Saleperson]],Lookup_Tables!$B$5:$B$16,Lookup_Tables!$C$5:$C$16)</f>
        <v>North</v>
      </c>
      <c r="F20" s="5" t="s">
        <v>74</v>
      </c>
      <c r="G20" t="str">
        <f>_xlfn.XLOOKUP(tblSales[[#This Row],[Customer]],Lookup_Tables!$I$5:$I$34,Lookup_Tables!$J$5:$J$34)</f>
        <v>Retail</v>
      </c>
      <c r="H20" t="str">
        <f>_xlfn.XLOOKUP(tblSales[[#This Row],[Product]],Lookup_Tables!$F$5:$F$23,Lookup_Tables!$E$5:$E$23,"")</f>
        <v>Furniture</v>
      </c>
      <c r="I20" t="s">
        <v>43</v>
      </c>
      <c r="J20" s="11">
        <v>3</v>
      </c>
      <c r="K20" s="1">
        <f>_xlfn.XLOOKUP(tblSales[[#This Row],[Product]],Lookup_Tables!$F$5:$F$23,Lookup_Tables!$G$5:$G$23,"")</f>
        <v>4200</v>
      </c>
      <c r="L20" s="12">
        <f>_xlfn.XLOOKUP(tblSales[[#This Row],[Customer Type]],Lookup_Tables!$B$19:$B$21,Lookup_Tables!$C$19:$C$21,0)</f>
        <v>0</v>
      </c>
      <c r="M20" t="s">
        <v>32</v>
      </c>
      <c r="N20" s="11" t="str">
        <f>"Q"&amp;ROUNDUP(MONTH(tblSales[[#This Row],[Date]])/3,0)</f>
        <v>Q1</v>
      </c>
      <c r="O20" s="11">
        <f>YEAR(tblSales[[#This Row],[Date]])</f>
        <v>2025</v>
      </c>
      <c r="P20" s="1">
        <f>tblSales[[#This Row],[Quantity]]*tblSales[[#This Row],[Unit Price]]</f>
        <v>12600</v>
      </c>
      <c r="Q20" s="1">
        <f>tblSales[[#This Row],[Gross Sales]]*tblSales[[#This Row],[Discount%]]</f>
        <v>0</v>
      </c>
      <c r="R20" s="1">
        <f>tblSales[[#This Row],[Gross Sales]]-tblSales[[#This Row],[Discount Amount]]</f>
        <v>12600</v>
      </c>
    </row>
    <row r="21" spans="1:22" x14ac:dyDescent="0.35">
      <c r="A21" t="str">
        <f t="shared" si="0"/>
        <v>ORD-2026-0020</v>
      </c>
      <c r="B21" s="2">
        <v>45697</v>
      </c>
      <c r="C21" t="str">
        <f>TEXT(tblSales[[#This Row],[Date]],"mmmm")</f>
        <v>February</v>
      </c>
      <c r="D21" t="s">
        <v>19</v>
      </c>
      <c r="E21" t="str">
        <f>_xlfn.XLOOKUP(tblSales[[#This Row],[Saleperson]],Lookup_Tables!$B$5:$B$16,Lookup_Tables!$C$5:$C$16)</f>
        <v>West</v>
      </c>
      <c r="F21" s="5" t="s">
        <v>66</v>
      </c>
      <c r="G21" t="str">
        <f>_xlfn.XLOOKUP(tblSales[[#This Row],[Customer]],Lookup_Tables!$I$5:$I$34,Lookup_Tables!$J$5:$J$34)</f>
        <v>Retail</v>
      </c>
      <c r="H21" t="str">
        <f>_xlfn.XLOOKUP(tblSales[[#This Row],[Product]],Lookup_Tables!$F$5:$F$23,Lookup_Tables!$E$5:$E$23,"")</f>
        <v>Office Supplies</v>
      </c>
      <c r="I21" t="s">
        <v>54</v>
      </c>
      <c r="J21" s="11">
        <v>2</v>
      </c>
      <c r="K21" s="1">
        <f>_xlfn.XLOOKUP(tblSales[[#This Row],[Product]],Lookup_Tables!$F$5:$F$23,Lookup_Tables!$G$5:$G$23,"")</f>
        <v>210</v>
      </c>
      <c r="L21" s="12">
        <f>_xlfn.XLOOKUP(tblSales[[#This Row],[Customer Type]],Lookup_Tables!$B$19:$B$21,Lookup_Tables!$C$19:$C$21,0)</f>
        <v>0</v>
      </c>
      <c r="M21" t="s">
        <v>33</v>
      </c>
      <c r="N21" s="11" t="str">
        <f>"Q"&amp;ROUNDUP(MONTH(tblSales[[#This Row],[Date]])/3,0)</f>
        <v>Q1</v>
      </c>
      <c r="O21" s="11">
        <f>YEAR(tblSales[[#This Row],[Date]])</f>
        <v>2025</v>
      </c>
      <c r="P21" s="1">
        <f>tblSales[[#This Row],[Quantity]]*tblSales[[#This Row],[Unit Price]]</f>
        <v>420</v>
      </c>
      <c r="Q21" s="1">
        <f>tblSales[[#This Row],[Gross Sales]]*tblSales[[#This Row],[Discount%]]</f>
        <v>0</v>
      </c>
      <c r="R21" s="1">
        <f>tblSales[[#This Row],[Gross Sales]]-tblSales[[#This Row],[Discount Amount]]</f>
        <v>420</v>
      </c>
    </row>
    <row r="22" spans="1:22" x14ac:dyDescent="0.35">
      <c r="A22" t="str">
        <f t="shared" si="0"/>
        <v>ORD-2026-0021</v>
      </c>
      <c r="B22" s="2">
        <v>45700</v>
      </c>
      <c r="C22" t="str">
        <f>TEXT(tblSales[[#This Row],[Date]],"mmmm")</f>
        <v>February</v>
      </c>
      <c r="D22" t="s">
        <v>23</v>
      </c>
      <c r="E22" t="str">
        <f>_xlfn.XLOOKUP(tblSales[[#This Row],[Saleperson]],Lookup_Tables!$B$5:$B$16,Lookup_Tables!$C$5:$C$16)</f>
        <v>West</v>
      </c>
      <c r="F22" t="s">
        <v>70</v>
      </c>
      <c r="G22" t="str">
        <f>_xlfn.XLOOKUP(tblSales[[#This Row],[Customer]],Lookup_Tables!$I$5:$I$34,Lookup_Tables!$J$5:$J$34)</f>
        <v>Retail</v>
      </c>
      <c r="H22" t="str">
        <f>_xlfn.XLOOKUP(tblSales[[#This Row],[Product]],Lookup_Tables!$F$5:$F$23,Lookup_Tables!$E$5:$E$23,"")</f>
        <v>Furniture</v>
      </c>
      <c r="I22" t="s">
        <v>46</v>
      </c>
      <c r="J22" s="11">
        <v>6</v>
      </c>
      <c r="K22" s="1">
        <f>_xlfn.XLOOKUP(tblSales[[#This Row],[Product]],Lookup_Tables!$F$5:$F$23,Lookup_Tables!$G$5:$G$23,"")</f>
        <v>3100</v>
      </c>
      <c r="L22" s="6">
        <f>_xlfn.XLOOKUP(tblSales[[#This Row],[Customer Type]],Lookup_Tables!$B$19:$B$21,Lookup_Tables!$C$19:$C$21,0)</f>
        <v>0</v>
      </c>
      <c r="M22" t="s">
        <v>34</v>
      </c>
      <c r="N22" s="11" t="str">
        <f>"Q"&amp;ROUNDUP(MONTH(tblSales[[#This Row],[Date]])/3,0)</f>
        <v>Q1</v>
      </c>
      <c r="O22" s="11">
        <f>YEAR(tblSales[[#This Row],[Date]])</f>
        <v>2025</v>
      </c>
      <c r="P22" s="1">
        <f>tblSales[[#This Row],[Quantity]]*tblSales[[#This Row],[Unit Price]]</f>
        <v>18600</v>
      </c>
      <c r="Q22" s="1">
        <f>tblSales[[#This Row],[Gross Sales]]*tblSales[[#This Row],[Discount%]]</f>
        <v>0</v>
      </c>
      <c r="R22" s="1">
        <f>tblSales[[#This Row],[Gross Sales]]-tblSales[[#This Row],[Discount Amount]]</f>
        <v>18600</v>
      </c>
    </row>
    <row r="23" spans="1:22" x14ac:dyDescent="0.35">
      <c r="A23" t="str">
        <f t="shared" si="0"/>
        <v>ORD-2026-0022</v>
      </c>
      <c r="B23" s="2">
        <v>45702</v>
      </c>
      <c r="C23" t="str">
        <f>TEXT(tblSales[[#This Row],[Date]],"mmmm")</f>
        <v>February</v>
      </c>
      <c r="D23" t="s">
        <v>21</v>
      </c>
      <c r="E23" t="str">
        <f>_xlfn.XLOOKUP(tblSales[[#This Row],[Saleperson]],Lookup_Tables!$B$5:$B$16,Lookup_Tables!$C$5:$C$16)</f>
        <v>South</v>
      </c>
      <c r="F23" t="s">
        <v>65</v>
      </c>
      <c r="G23" t="str">
        <f>_xlfn.XLOOKUP(tblSales[[#This Row],[Customer]],Lookup_Tables!$I$5:$I$34,Lookup_Tables!$J$5:$J$34)</f>
        <v>Retail</v>
      </c>
      <c r="H23" t="str">
        <f>_xlfn.XLOOKUP(tblSales[[#This Row],[Product]],Lookup_Tables!$F$5:$F$23,Lookup_Tables!$E$5:$E$23,"")</f>
        <v>Office Supplies</v>
      </c>
      <c r="I23" t="s">
        <v>52</v>
      </c>
      <c r="J23" s="11">
        <v>3</v>
      </c>
      <c r="K23" s="1">
        <f>_xlfn.XLOOKUP(tblSales[[#This Row],[Product]],Lookup_Tables!$F$5:$F$23,Lookup_Tables!$G$5:$G$23,"")</f>
        <v>60</v>
      </c>
      <c r="L23" s="12">
        <f>_xlfn.XLOOKUP(tblSales[[#This Row],[Customer Type]],Lookup_Tables!$B$19:$B$21,Lookup_Tables!$C$19:$C$21,0)</f>
        <v>0</v>
      </c>
      <c r="M23" t="s">
        <v>34</v>
      </c>
      <c r="N23" s="11" t="str">
        <f>"Q"&amp;ROUNDUP(MONTH(tblSales[[#This Row],[Date]])/3,0)</f>
        <v>Q1</v>
      </c>
      <c r="O23" s="11">
        <f>YEAR(tblSales[[#This Row],[Date]])</f>
        <v>2025</v>
      </c>
      <c r="P23" s="1">
        <f>tblSales[[#This Row],[Quantity]]*tblSales[[#This Row],[Unit Price]]</f>
        <v>180</v>
      </c>
      <c r="Q23" s="1">
        <f>tblSales[[#This Row],[Gross Sales]]*tblSales[[#This Row],[Discount%]]</f>
        <v>0</v>
      </c>
      <c r="R23" s="1">
        <f>tblSales[[#This Row],[Gross Sales]]-tblSales[[#This Row],[Discount Amount]]</f>
        <v>180</v>
      </c>
    </row>
    <row r="24" spans="1:22" x14ac:dyDescent="0.35">
      <c r="A24" t="str">
        <f t="shared" si="0"/>
        <v>ORD-2026-0023</v>
      </c>
      <c r="B24" s="2">
        <v>45704</v>
      </c>
      <c r="C24" t="str">
        <f>TEXT(tblSales[[#This Row],[Date]],"mmmm")</f>
        <v>February</v>
      </c>
      <c r="D24" t="s">
        <v>25</v>
      </c>
      <c r="E24" t="str">
        <f>_xlfn.XLOOKUP(tblSales[[#This Row],[Saleperson]],Lookup_Tables!$B$5:$B$16,Lookup_Tables!$C$5:$C$16)</f>
        <v>West</v>
      </c>
      <c r="F24" s="5" t="s">
        <v>66</v>
      </c>
      <c r="G24" t="str">
        <f>_xlfn.XLOOKUP(tblSales[[#This Row],[Customer]],Lookup_Tables!$I$5:$I$34,Lookup_Tables!$J$5:$J$34)</f>
        <v>Retail</v>
      </c>
      <c r="H24" t="str">
        <f>_xlfn.XLOOKUP(tblSales[[#This Row],[Product]],Lookup_Tables!$F$5:$F$23,Lookup_Tables!$E$5:$E$23,"")</f>
        <v>Furniture</v>
      </c>
      <c r="I24" t="s">
        <v>45</v>
      </c>
      <c r="J24" s="11">
        <v>7</v>
      </c>
      <c r="K24" s="1">
        <f>_xlfn.XLOOKUP(tblSales[[#This Row],[Product]],Lookup_Tables!$F$5:$F$23,Lookup_Tables!$G$5:$G$23,"")</f>
        <v>5200</v>
      </c>
      <c r="L24" s="12">
        <f>_xlfn.XLOOKUP(tblSales[[#This Row],[Customer Type]],Lookup_Tables!$B$19:$B$21,Lookup_Tables!$C$19:$C$21,0)</f>
        <v>0</v>
      </c>
      <c r="M24" t="s">
        <v>33</v>
      </c>
      <c r="N24" s="11" t="str">
        <f>"Q"&amp;ROUNDUP(MONTH(tblSales[[#This Row],[Date]])/3,0)</f>
        <v>Q1</v>
      </c>
      <c r="O24" s="11">
        <f>YEAR(tblSales[[#This Row],[Date]])</f>
        <v>2025</v>
      </c>
      <c r="P24" s="1">
        <f>tblSales[[#This Row],[Quantity]]*tblSales[[#This Row],[Unit Price]]</f>
        <v>36400</v>
      </c>
      <c r="Q24" s="1">
        <f>tblSales[[#This Row],[Gross Sales]]*tblSales[[#This Row],[Discount%]]</f>
        <v>0</v>
      </c>
      <c r="R24" s="1">
        <f>tblSales[[#This Row],[Gross Sales]]-tblSales[[#This Row],[Discount Amount]]</f>
        <v>36400</v>
      </c>
    </row>
    <row r="25" spans="1:22" x14ac:dyDescent="0.35">
      <c r="A25" t="str">
        <f t="shared" si="0"/>
        <v>ORD-2026-0024</v>
      </c>
      <c r="B25" s="2">
        <v>45708</v>
      </c>
      <c r="C25" t="str">
        <f>TEXT(tblSales[[#This Row],[Date]],"mmmm")</f>
        <v>February</v>
      </c>
      <c r="D25" t="s">
        <v>26</v>
      </c>
      <c r="E25" t="str">
        <f>_xlfn.XLOOKUP(tblSales[[#This Row],[Saleperson]],Lookup_Tables!$B$5:$B$16,Lookup_Tables!$C$5:$C$16)</f>
        <v>North</v>
      </c>
      <c r="F25" s="5" t="s">
        <v>64</v>
      </c>
      <c r="G25" t="str">
        <f>_xlfn.XLOOKUP(tblSales[[#This Row],[Customer]],Lookup_Tables!$I$5:$I$34,Lookup_Tables!$J$5:$J$34)</f>
        <v>Retail</v>
      </c>
      <c r="H25" t="str">
        <f>_xlfn.XLOOKUP(tblSales[[#This Row],[Product]],Lookup_Tables!$F$5:$F$23,Lookup_Tables!$E$5:$E$23,"")</f>
        <v>Office Supplies</v>
      </c>
      <c r="I25" t="s">
        <v>54</v>
      </c>
      <c r="J25" s="11">
        <v>3</v>
      </c>
      <c r="K25" s="1">
        <f>_xlfn.XLOOKUP(tblSales[[#This Row],[Product]],Lookup_Tables!$F$5:$F$23,Lookup_Tables!$G$5:$G$23,"")</f>
        <v>210</v>
      </c>
      <c r="L25" s="12">
        <f>_xlfn.XLOOKUP(tblSales[[#This Row],[Customer Type]],Lookup_Tables!$B$19:$B$21,Lookup_Tables!$C$19:$C$21,0)</f>
        <v>0</v>
      </c>
      <c r="M25" t="s">
        <v>33</v>
      </c>
      <c r="N25" s="11" t="str">
        <f>"Q"&amp;ROUNDUP(MONTH(tblSales[[#This Row],[Date]])/3,0)</f>
        <v>Q1</v>
      </c>
      <c r="O25" s="11">
        <f>YEAR(tblSales[[#This Row],[Date]])</f>
        <v>2025</v>
      </c>
      <c r="P25" s="1">
        <f>tblSales[[#This Row],[Quantity]]*tblSales[[#This Row],[Unit Price]]</f>
        <v>630</v>
      </c>
      <c r="Q25" s="1">
        <f>tblSales[[#This Row],[Gross Sales]]*tblSales[[#This Row],[Discount%]]</f>
        <v>0</v>
      </c>
      <c r="R25" s="1">
        <f>tblSales[[#This Row],[Gross Sales]]-tblSales[[#This Row],[Discount Amount]]</f>
        <v>630</v>
      </c>
    </row>
    <row r="26" spans="1:22" x14ac:dyDescent="0.35">
      <c r="A26" t="str">
        <f t="shared" si="0"/>
        <v>ORD-2026-0025</v>
      </c>
      <c r="B26" s="2">
        <v>45710</v>
      </c>
      <c r="C26" t="str">
        <f>TEXT(tblSales[[#This Row],[Date]],"mmmm")</f>
        <v>February</v>
      </c>
      <c r="D26" t="s">
        <v>20</v>
      </c>
      <c r="E26" t="str">
        <f>_xlfn.XLOOKUP(tblSales[[#This Row],[Saleperson]],Lookup_Tables!$B$5:$B$16,Lookup_Tables!$C$5:$C$16)</f>
        <v>East</v>
      </c>
      <c r="F26" s="5" t="s">
        <v>73</v>
      </c>
      <c r="G26" t="str">
        <f>_xlfn.XLOOKUP(tblSales[[#This Row],[Customer]],Lookup_Tables!$I$5:$I$34,Lookup_Tables!$J$5:$J$34)</f>
        <v>Retail</v>
      </c>
      <c r="H26" t="str">
        <f>_xlfn.XLOOKUP(tblSales[[#This Row],[Product]],Lookup_Tables!$F$5:$F$23,Lookup_Tables!$E$5:$E$23,"")</f>
        <v>Electronics</v>
      </c>
      <c r="I26" t="s">
        <v>37</v>
      </c>
      <c r="J26" s="11">
        <v>6</v>
      </c>
      <c r="K26" s="1">
        <f>_xlfn.XLOOKUP(tblSales[[#This Row],[Product]],Lookup_Tables!$F$5:$F$23,Lookup_Tables!$G$5:$G$23,"")</f>
        <v>20000</v>
      </c>
      <c r="L26" s="12">
        <f>_xlfn.XLOOKUP(tblSales[[#This Row],[Customer Type]],Lookup_Tables!$B$19:$B$21,Lookup_Tables!$C$19:$C$21,0)</f>
        <v>0</v>
      </c>
      <c r="M26" t="s">
        <v>33</v>
      </c>
      <c r="N26" s="11" t="str">
        <f>"Q"&amp;ROUNDUP(MONTH(tblSales[[#This Row],[Date]])/3,0)</f>
        <v>Q1</v>
      </c>
      <c r="O26" s="11">
        <f>YEAR(tblSales[[#This Row],[Date]])</f>
        <v>2025</v>
      </c>
      <c r="P26" s="1">
        <f>tblSales[[#This Row],[Quantity]]*tblSales[[#This Row],[Unit Price]]</f>
        <v>120000</v>
      </c>
      <c r="Q26" s="1">
        <f>tblSales[[#This Row],[Gross Sales]]*tblSales[[#This Row],[Discount%]]</f>
        <v>0</v>
      </c>
      <c r="R26" s="1">
        <f>tblSales[[#This Row],[Gross Sales]]-tblSales[[#This Row],[Discount Amount]]</f>
        <v>120000</v>
      </c>
    </row>
    <row r="27" spans="1:22" x14ac:dyDescent="0.35">
      <c r="A27" t="str">
        <f t="shared" si="0"/>
        <v>ORD-2026-0026</v>
      </c>
      <c r="B27" s="2">
        <v>45713</v>
      </c>
      <c r="C27" t="str">
        <f>TEXT(tblSales[[#This Row],[Date]],"mmmm")</f>
        <v>February</v>
      </c>
      <c r="D27" t="s">
        <v>18</v>
      </c>
      <c r="E27" t="str">
        <f>_xlfn.XLOOKUP(tblSales[[#This Row],[Saleperson]],Lookup_Tables!$B$5:$B$16,Lookup_Tables!$C$5:$C$16)</f>
        <v>South</v>
      </c>
      <c r="F27" s="5" t="s">
        <v>66</v>
      </c>
      <c r="G27" t="str">
        <f>_xlfn.XLOOKUP(tblSales[[#This Row],[Customer]],Lookup_Tables!$I$5:$I$34,Lookup_Tables!$J$5:$J$34)</f>
        <v>Retail</v>
      </c>
      <c r="H27" t="str">
        <f>_xlfn.XLOOKUP(tblSales[[#This Row],[Product]],Lookup_Tables!$F$5:$F$23,Lookup_Tables!$E$5:$E$23,"")</f>
        <v>Furniture</v>
      </c>
      <c r="I27" t="s">
        <v>43</v>
      </c>
      <c r="J27" s="11">
        <v>3</v>
      </c>
      <c r="K27" s="1">
        <f>_xlfn.XLOOKUP(tblSales[[#This Row],[Product]],Lookup_Tables!$F$5:$F$23,Lookup_Tables!$G$5:$G$23,"")</f>
        <v>4200</v>
      </c>
      <c r="L27" s="12">
        <f>_xlfn.XLOOKUP(tblSales[[#This Row],[Customer Type]],Lookup_Tables!$B$19:$B$21,Lookup_Tables!$C$19:$C$21,0)</f>
        <v>0</v>
      </c>
      <c r="M27" t="s">
        <v>32</v>
      </c>
      <c r="N27" s="11" t="str">
        <f>"Q"&amp;ROUNDUP(MONTH(tblSales[[#This Row],[Date]])/3,0)</f>
        <v>Q1</v>
      </c>
      <c r="O27" s="11">
        <f>YEAR(tblSales[[#This Row],[Date]])</f>
        <v>2025</v>
      </c>
      <c r="P27" s="1">
        <f>tblSales[[#This Row],[Quantity]]*tblSales[[#This Row],[Unit Price]]</f>
        <v>12600</v>
      </c>
      <c r="Q27" s="1">
        <f>tblSales[[#This Row],[Gross Sales]]*tblSales[[#This Row],[Discount%]]</f>
        <v>0</v>
      </c>
      <c r="R27" s="1">
        <f>tblSales[[#This Row],[Gross Sales]]-tblSales[[#This Row],[Discount Amount]]</f>
        <v>12600</v>
      </c>
    </row>
    <row r="28" spans="1:22" x14ac:dyDescent="0.35">
      <c r="A28" t="str">
        <f t="shared" si="0"/>
        <v>ORD-2026-0027</v>
      </c>
      <c r="B28" s="2">
        <v>45719</v>
      </c>
      <c r="C28" t="str">
        <f>TEXT(tblSales[[#This Row],[Date]],"mmmm")</f>
        <v>March</v>
      </c>
      <c r="D28" t="s">
        <v>24</v>
      </c>
      <c r="E28" t="str">
        <f>_xlfn.XLOOKUP(tblSales[[#This Row],[Saleperson]],Lookup_Tables!$B$5:$B$16,Lookup_Tables!$C$5:$C$16)</f>
        <v>South</v>
      </c>
      <c r="F28" t="s">
        <v>71</v>
      </c>
      <c r="G28" t="str">
        <f>_xlfn.XLOOKUP(tblSales[[#This Row],[Customer]],Lookup_Tables!$I$5:$I$34,Lookup_Tables!$J$5:$J$34)</f>
        <v>Government</v>
      </c>
      <c r="H28" t="str">
        <f>_xlfn.XLOOKUP(tblSales[[#This Row],[Product]],Lookup_Tables!$F$5:$F$23,Lookup_Tables!$E$5:$E$23,"")</f>
        <v>Office Supplies</v>
      </c>
      <c r="I28" t="s">
        <v>57</v>
      </c>
      <c r="J28" s="11">
        <v>4</v>
      </c>
      <c r="K28" s="1">
        <f>_xlfn.XLOOKUP(tblSales[[#This Row],[Product]],Lookup_Tables!$F$5:$F$23,Lookup_Tables!$G$5:$G$23,"")</f>
        <v>5000</v>
      </c>
      <c r="L28" s="12">
        <f>_xlfn.XLOOKUP(tblSales[[#This Row],[Customer Type]],Lookup_Tables!$B$19:$B$21,Lookup_Tables!$C$19:$C$21,0)</f>
        <v>0.15</v>
      </c>
      <c r="M28" t="s">
        <v>32</v>
      </c>
      <c r="N28" s="11" t="str">
        <f>"Q"&amp;ROUNDUP(MONTH(tblSales[[#This Row],[Date]])/3,0)</f>
        <v>Q1</v>
      </c>
      <c r="O28" s="11">
        <f>YEAR(tblSales[[#This Row],[Date]])</f>
        <v>2025</v>
      </c>
      <c r="P28" s="1">
        <f>tblSales[[#This Row],[Quantity]]*tblSales[[#This Row],[Unit Price]]</f>
        <v>20000</v>
      </c>
      <c r="Q28" s="1">
        <f>tblSales[[#This Row],[Gross Sales]]*tblSales[[#This Row],[Discount%]]</f>
        <v>3000</v>
      </c>
      <c r="R28" s="1">
        <f>tblSales[[#This Row],[Gross Sales]]-tblSales[[#This Row],[Discount Amount]]</f>
        <v>17000</v>
      </c>
    </row>
    <row r="29" spans="1:22" x14ac:dyDescent="0.35">
      <c r="A29" t="str">
        <f t="shared" si="0"/>
        <v>ORD-2026-0028</v>
      </c>
      <c r="B29" s="2">
        <v>45721</v>
      </c>
      <c r="C29" t="str">
        <f>TEXT(tblSales[[#This Row],[Date]],"mmmm")</f>
        <v>March</v>
      </c>
      <c r="D29" t="s">
        <v>27</v>
      </c>
      <c r="E29" t="str">
        <f>_xlfn.XLOOKUP(tblSales[[#This Row],[Saleperson]],Lookup_Tables!$B$5:$B$16,Lookup_Tables!$C$5:$C$16)</f>
        <v>East</v>
      </c>
      <c r="F29" s="5" t="s">
        <v>67</v>
      </c>
      <c r="G29" t="str">
        <f>_xlfn.XLOOKUP(tblSales[[#This Row],[Customer]],Lookup_Tables!$I$5:$I$34,Lookup_Tables!$J$5:$J$34)</f>
        <v>Government</v>
      </c>
      <c r="H29" t="str">
        <f>_xlfn.XLOOKUP(tblSales[[#This Row],[Product]],Lookup_Tables!$F$5:$F$23,Lookup_Tables!$E$5:$E$23,"")</f>
        <v>Office Supplies</v>
      </c>
      <c r="I29" t="s">
        <v>51</v>
      </c>
      <c r="J29" s="11">
        <v>5</v>
      </c>
      <c r="K29" s="1">
        <f>_xlfn.XLOOKUP(tblSales[[#This Row],[Product]],Lookup_Tables!$F$5:$F$23,Lookup_Tables!$G$5:$G$23,"")</f>
        <v>90</v>
      </c>
      <c r="L29" s="12">
        <f>_xlfn.XLOOKUP(tblSales[[#This Row],[Customer Type]],Lookup_Tables!$B$19:$B$21,Lookup_Tables!$C$19:$C$21,0)</f>
        <v>0.15</v>
      </c>
      <c r="M29" t="s">
        <v>32</v>
      </c>
      <c r="N29" s="11" t="str">
        <f>"Q"&amp;ROUNDUP(MONTH(tblSales[[#This Row],[Date]])/3,0)</f>
        <v>Q1</v>
      </c>
      <c r="O29" s="11">
        <f>YEAR(tblSales[[#This Row],[Date]])</f>
        <v>2025</v>
      </c>
      <c r="P29" s="1">
        <f>tblSales[[#This Row],[Quantity]]*tblSales[[#This Row],[Unit Price]]</f>
        <v>450</v>
      </c>
      <c r="Q29" s="1">
        <f>tblSales[[#This Row],[Gross Sales]]*tblSales[[#This Row],[Discount%]]</f>
        <v>67.5</v>
      </c>
      <c r="R29" s="1">
        <f>tblSales[[#This Row],[Gross Sales]]-tblSales[[#This Row],[Discount Amount]]</f>
        <v>382.5</v>
      </c>
    </row>
    <row r="30" spans="1:22" x14ac:dyDescent="0.35">
      <c r="A30" t="str">
        <f t="shared" si="0"/>
        <v>ORD-2026-0029</v>
      </c>
      <c r="B30" s="2">
        <v>45721</v>
      </c>
      <c r="C30" t="str">
        <f>TEXT(tblSales[[#This Row],[Date]],"mmmm")</f>
        <v>March</v>
      </c>
      <c r="D30" t="s">
        <v>19</v>
      </c>
      <c r="E30" t="str">
        <f>_xlfn.XLOOKUP(tblSales[[#This Row],[Saleperson]],Lookup_Tables!$B$5:$B$16,Lookup_Tables!$C$5:$C$16)</f>
        <v>West</v>
      </c>
      <c r="F30" s="5" t="s">
        <v>64</v>
      </c>
      <c r="G30" t="str">
        <f>_xlfn.XLOOKUP(tblSales[[#This Row],[Customer]],Lookup_Tables!$I$5:$I$34,Lookup_Tables!$J$5:$J$34)</f>
        <v>Retail</v>
      </c>
      <c r="H30" t="str">
        <f>_xlfn.XLOOKUP(tblSales[[#This Row],[Product]],Lookup_Tables!$F$5:$F$23,Lookup_Tables!$E$5:$E$23,"")</f>
        <v>Office Supplies</v>
      </c>
      <c r="I30" t="s">
        <v>50</v>
      </c>
      <c r="J30" s="11">
        <v>10</v>
      </c>
      <c r="K30" s="1">
        <f>_xlfn.XLOOKUP(tblSales[[#This Row],[Product]],Lookup_Tables!$F$5:$F$23,Lookup_Tables!$G$5:$G$23,"")</f>
        <v>180</v>
      </c>
      <c r="L30" s="12">
        <f>_xlfn.XLOOKUP(tblSales[[#This Row],[Customer Type]],Lookup_Tables!$B$19:$B$21,Lookup_Tables!$C$19:$C$21,0)</f>
        <v>0</v>
      </c>
      <c r="M30" t="s">
        <v>32</v>
      </c>
      <c r="N30" s="11" t="str">
        <f>"Q"&amp;ROUNDUP(MONTH(tblSales[[#This Row],[Date]])/3,0)</f>
        <v>Q1</v>
      </c>
      <c r="O30" s="11">
        <f>YEAR(tblSales[[#This Row],[Date]])</f>
        <v>2025</v>
      </c>
      <c r="P30" s="1">
        <f>tblSales[[#This Row],[Quantity]]*tblSales[[#This Row],[Unit Price]]</f>
        <v>1800</v>
      </c>
      <c r="Q30" s="1">
        <f>tblSales[[#This Row],[Gross Sales]]*tblSales[[#This Row],[Discount%]]</f>
        <v>0</v>
      </c>
      <c r="R30" s="1">
        <f>tblSales[[#This Row],[Gross Sales]]-tblSales[[#This Row],[Discount Amount]]</f>
        <v>1800</v>
      </c>
    </row>
    <row r="31" spans="1:22" x14ac:dyDescent="0.35">
      <c r="A31" t="str">
        <f t="shared" si="0"/>
        <v>ORD-2026-0030</v>
      </c>
      <c r="B31" s="2">
        <v>45724</v>
      </c>
      <c r="C31" t="str">
        <f>TEXT(tblSales[[#This Row],[Date]],"mmmm")</f>
        <v>March</v>
      </c>
      <c r="D31" t="s">
        <v>17</v>
      </c>
      <c r="E31" t="str">
        <f>_xlfn.XLOOKUP(tblSales[[#This Row],[Saleperson]],Lookup_Tables!$B$5:$B$16,Lookup_Tables!$C$5:$C$16)</f>
        <v>North</v>
      </c>
      <c r="F31" s="5" t="s">
        <v>66</v>
      </c>
      <c r="G31" t="str">
        <f>_xlfn.XLOOKUP(tblSales[[#This Row],[Customer]],Lookup_Tables!$I$5:$I$34,Lookup_Tables!$J$5:$J$34)</f>
        <v>Retail</v>
      </c>
      <c r="H31" t="str">
        <f>_xlfn.XLOOKUP(tblSales[[#This Row],[Product]],Lookup_Tables!$F$5:$F$23,Lookup_Tables!$E$5:$E$23,"")</f>
        <v>Office Supplies</v>
      </c>
      <c r="I31" t="s">
        <v>54</v>
      </c>
      <c r="J31" s="11">
        <v>6</v>
      </c>
      <c r="K31" s="1">
        <f>_xlfn.XLOOKUP(tblSales[[#This Row],[Product]],Lookup_Tables!$F$5:$F$23,Lookup_Tables!$G$5:$G$23,"")</f>
        <v>210</v>
      </c>
      <c r="L31" s="12">
        <f>_xlfn.XLOOKUP(tblSales[[#This Row],[Customer Type]],Lookup_Tables!$B$19:$B$21,Lookup_Tables!$C$19:$C$21,0)</f>
        <v>0</v>
      </c>
      <c r="M31" t="s">
        <v>35</v>
      </c>
      <c r="N31" s="11" t="str">
        <f>"Q"&amp;ROUNDUP(MONTH(tblSales[[#This Row],[Date]])/3,0)</f>
        <v>Q1</v>
      </c>
      <c r="O31" s="11">
        <f>YEAR(tblSales[[#This Row],[Date]])</f>
        <v>2025</v>
      </c>
      <c r="P31" s="1">
        <f>tblSales[[#This Row],[Quantity]]*tblSales[[#This Row],[Unit Price]]</f>
        <v>1260</v>
      </c>
      <c r="Q31" s="1">
        <f>tblSales[[#This Row],[Gross Sales]]*tblSales[[#This Row],[Discount%]]</f>
        <v>0</v>
      </c>
      <c r="R31" s="1">
        <f>tblSales[[#This Row],[Gross Sales]]-tblSales[[#This Row],[Discount Amount]]</f>
        <v>1260</v>
      </c>
    </row>
    <row r="32" spans="1:22" x14ac:dyDescent="0.35">
      <c r="A32" t="str">
        <f t="shared" si="0"/>
        <v>ORD-2026-0031</v>
      </c>
      <c r="B32" s="2">
        <v>45727</v>
      </c>
      <c r="C32" t="str">
        <f>TEXT(tblSales[[#This Row],[Date]],"mmmm")</f>
        <v>March</v>
      </c>
      <c r="D32" t="s">
        <v>23</v>
      </c>
      <c r="E32" t="str">
        <f>_xlfn.XLOOKUP(tblSales[[#This Row],[Saleperson]],Lookup_Tables!$B$5:$B$16,Lookup_Tables!$C$5:$C$16)</f>
        <v>West</v>
      </c>
      <c r="F32" s="5" t="s">
        <v>83</v>
      </c>
      <c r="G32" t="str">
        <f>_xlfn.XLOOKUP(tblSales[[#This Row],[Customer]],Lookup_Tables!$I$5:$I$34,Lookup_Tables!$J$5:$J$34)</f>
        <v>Corporate</v>
      </c>
      <c r="H32" t="str">
        <f>_xlfn.XLOOKUP(tblSales[[#This Row],[Product]],Lookup_Tables!$F$5:$F$23,Lookup_Tables!$E$5:$E$23,"")</f>
        <v>Electronics</v>
      </c>
      <c r="I32" t="s">
        <v>40</v>
      </c>
      <c r="J32" s="11">
        <v>10</v>
      </c>
      <c r="K32" s="1">
        <f>_xlfn.XLOOKUP(tblSales[[#This Row],[Product]],Lookup_Tables!$F$5:$F$23,Lookup_Tables!$G$5:$G$23,"")</f>
        <v>850</v>
      </c>
      <c r="L32" s="12">
        <f>_xlfn.XLOOKUP(tblSales[[#This Row],[Customer Type]],Lookup_Tables!$B$19:$B$21,Lookup_Tables!$C$19:$C$21,0)</f>
        <v>0.1</v>
      </c>
      <c r="M32" t="s">
        <v>33</v>
      </c>
      <c r="N32" s="11" t="str">
        <f>"Q"&amp;ROUNDUP(MONTH(tblSales[[#This Row],[Date]])/3,0)</f>
        <v>Q1</v>
      </c>
      <c r="O32" s="11">
        <f>YEAR(tblSales[[#This Row],[Date]])</f>
        <v>2025</v>
      </c>
      <c r="P32" s="1">
        <f>tblSales[[#This Row],[Quantity]]*tblSales[[#This Row],[Unit Price]]</f>
        <v>8500</v>
      </c>
      <c r="Q32" s="1">
        <f>tblSales[[#This Row],[Gross Sales]]*tblSales[[#This Row],[Discount%]]</f>
        <v>850</v>
      </c>
      <c r="R32" s="1">
        <f>tblSales[[#This Row],[Gross Sales]]-tblSales[[#This Row],[Discount Amount]]</f>
        <v>7650</v>
      </c>
    </row>
    <row r="33" spans="1:18" x14ac:dyDescent="0.35">
      <c r="A33" t="str">
        <f t="shared" si="0"/>
        <v>ORD-2026-0032</v>
      </c>
      <c r="B33" s="2">
        <v>45729</v>
      </c>
      <c r="C33" t="str">
        <f>TEXT(tblSales[[#This Row],[Date]],"mmmm")</f>
        <v>March</v>
      </c>
      <c r="D33" t="s">
        <v>25</v>
      </c>
      <c r="E33" t="str">
        <f>_xlfn.XLOOKUP(tblSales[[#This Row],[Saleperson]],Lookup_Tables!$B$5:$B$16,Lookup_Tables!$C$5:$C$16)</f>
        <v>West</v>
      </c>
      <c r="F33" t="s">
        <v>71</v>
      </c>
      <c r="G33" t="str">
        <f>_xlfn.XLOOKUP(tblSales[[#This Row],[Customer]],Lookup_Tables!$I$5:$I$34,Lookup_Tables!$J$5:$J$34)</f>
        <v>Government</v>
      </c>
      <c r="H33" t="str">
        <f>_xlfn.XLOOKUP(tblSales[[#This Row],[Product]],Lookup_Tables!$F$5:$F$23,Lookup_Tables!$E$5:$E$23,"")</f>
        <v>Electronics</v>
      </c>
      <c r="I33" t="s">
        <v>37</v>
      </c>
      <c r="J33" s="11">
        <v>1</v>
      </c>
      <c r="K33" s="1">
        <f>_xlfn.XLOOKUP(tblSales[[#This Row],[Product]],Lookup_Tables!$F$5:$F$23,Lookup_Tables!$G$5:$G$23,"")</f>
        <v>20000</v>
      </c>
      <c r="L33" s="12">
        <f>_xlfn.XLOOKUP(tblSales[[#This Row],[Customer Type]],Lookup_Tables!$B$19:$B$21,Lookup_Tables!$C$19:$C$21,0)</f>
        <v>0.15</v>
      </c>
      <c r="M33" t="s">
        <v>35</v>
      </c>
      <c r="N33" s="11" t="str">
        <f>"Q"&amp;ROUNDUP(MONTH(tblSales[[#This Row],[Date]])/3,0)</f>
        <v>Q1</v>
      </c>
      <c r="O33" s="11">
        <f>YEAR(tblSales[[#This Row],[Date]])</f>
        <v>2025</v>
      </c>
      <c r="P33" s="1">
        <f>tblSales[[#This Row],[Quantity]]*tblSales[[#This Row],[Unit Price]]</f>
        <v>20000</v>
      </c>
      <c r="Q33" s="1">
        <f>tblSales[[#This Row],[Gross Sales]]*tblSales[[#This Row],[Discount%]]</f>
        <v>3000</v>
      </c>
      <c r="R33" s="1">
        <f>tblSales[[#This Row],[Gross Sales]]-tblSales[[#This Row],[Discount Amount]]</f>
        <v>17000</v>
      </c>
    </row>
    <row r="34" spans="1:18" x14ac:dyDescent="0.35">
      <c r="A34" t="str">
        <f t="shared" si="0"/>
        <v>ORD-2026-0033</v>
      </c>
      <c r="B34" s="2">
        <v>45730</v>
      </c>
      <c r="C34" t="str">
        <f>TEXT(tblSales[[#This Row],[Date]],"mmmm")</f>
        <v>March</v>
      </c>
      <c r="D34" t="s">
        <v>20</v>
      </c>
      <c r="E34" t="str">
        <f>_xlfn.XLOOKUP(tblSales[[#This Row],[Saleperson]],Lookup_Tables!$B$5:$B$16,Lookup_Tables!$C$5:$C$16)</f>
        <v>East</v>
      </c>
      <c r="F34" s="5" t="s">
        <v>67</v>
      </c>
      <c r="G34" t="str">
        <f>_xlfn.XLOOKUP(tblSales[[#This Row],[Customer]],Lookup_Tables!$I$5:$I$34,Lookup_Tables!$J$5:$J$34)</f>
        <v>Government</v>
      </c>
      <c r="H34" t="str">
        <f>_xlfn.XLOOKUP(tblSales[[#This Row],[Product]],Lookup_Tables!$F$5:$F$23,Lookup_Tables!$E$5:$E$23,"")</f>
        <v>Electronics</v>
      </c>
      <c r="I34" t="s">
        <v>38</v>
      </c>
      <c r="J34" s="11">
        <v>6</v>
      </c>
      <c r="K34" s="1">
        <f>_xlfn.XLOOKUP(tblSales[[#This Row],[Product]],Lookup_Tables!$F$5:$F$23,Lookup_Tables!$G$5:$G$23,"")</f>
        <v>6000</v>
      </c>
      <c r="L34" s="12">
        <f>_xlfn.XLOOKUP(tblSales[[#This Row],[Customer Type]],Lookup_Tables!$B$19:$B$21,Lookup_Tables!$C$19:$C$21,0)</f>
        <v>0.15</v>
      </c>
      <c r="M34" t="s">
        <v>32</v>
      </c>
      <c r="N34" s="11" t="str">
        <f>"Q"&amp;ROUNDUP(MONTH(tblSales[[#This Row],[Date]])/3,0)</f>
        <v>Q1</v>
      </c>
      <c r="O34" s="11">
        <f>YEAR(tblSales[[#This Row],[Date]])</f>
        <v>2025</v>
      </c>
      <c r="P34" s="1">
        <f>tblSales[[#This Row],[Quantity]]*tblSales[[#This Row],[Unit Price]]</f>
        <v>36000</v>
      </c>
      <c r="Q34" s="1">
        <f>tblSales[[#This Row],[Gross Sales]]*tblSales[[#This Row],[Discount%]]</f>
        <v>5400</v>
      </c>
      <c r="R34" s="1">
        <f>tblSales[[#This Row],[Gross Sales]]-tblSales[[#This Row],[Discount Amount]]</f>
        <v>30600</v>
      </c>
    </row>
    <row r="35" spans="1:18" x14ac:dyDescent="0.35">
      <c r="A35" t="str">
        <f t="shared" si="0"/>
        <v>ORD-2026-0034</v>
      </c>
      <c r="B35" s="2">
        <v>45732</v>
      </c>
      <c r="C35" t="str">
        <f>TEXT(tblSales[[#This Row],[Date]],"mmmm")</f>
        <v>March</v>
      </c>
      <c r="D35" t="s">
        <v>26</v>
      </c>
      <c r="E35" t="str">
        <f>_xlfn.XLOOKUP(tblSales[[#This Row],[Saleperson]],Lookup_Tables!$B$5:$B$16,Lookup_Tables!$C$5:$C$16)</f>
        <v>North</v>
      </c>
      <c r="F35" s="5" t="s">
        <v>74</v>
      </c>
      <c r="G35" t="str">
        <f>_xlfn.XLOOKUP(tblSales[[#This Row],[Customer]],Lookup_Tables!$I$5:$I$34,Lookup_Tables!$J$5:$J$34)</f>
        <v>Retail</v>
      </c>
      <c r="H35" t="str">
        <f>_xlfn.XLOOKUP(tblSales[[#This Row],[Product]],Lookup_Tables!$F$5:$F$23,Lookup_Tables!$E$5:$E$23,"")</f>
        <v>Office Supplies</v>
      </c>
      <c r="I35" t="s">
        <v>52</v>
      </c>
      <c r="J35" s="11">
        <v>9</v>
      </c>
      <c r="K35" s="1">
        <f>_xlfn.XLOOKUP(tblSales[[#This Row],[Product]],Lookup_Tables!$F$5:$F$23,Lookup_Tables!$G$5:$G$23,"")</f>
        <v>60</v>
      </c>
      <c r="L35" s="12">
        <f>_xlfn.XLOOKUP(tblSales[[#This Row],[Customer Type]],Lookup_Tables!$B$19:$B$21,Lookup_Tables!$C$19:$C$21,0)</f>
        <v>0</v>
      </c>
      <c r="M35" t="s">
        <v>32</v>
      </c>
      <c r="N35" s="11" t="str">
        <f>"Q"&amp;ROUNDUP(MONTH(tblSales[[#This Row],[Date]])/3,0)</f>
        <v>Q1</v>
      </c>
      <c r="O35" s="11">
        <f>YEAR(tblSales[[#This Row],[Date]])</f>
        <v>2025</v>
      </c>
      <c r="P35" s="1">
        <f>tblSales[[#This Row],[Quantity]]*tblSales[[#This Row],[Unit Price]]</f>
        <v>540</v>
      </c>
      <c r="Q35" s="1">
        <f>tblSales[[#This Row],[Gross Sales]]*tblSales[[#This Row],[Discount%]]</f>
        <v>0</v>
      </c>
      <c r="R35" s="1">
        <f>tblSales[[#This Row],[Gross Sales]]-tblSales[[#This Row],[Discount Amount]]</f>
        <v>540</v>
      </c>
    </row>
    <row r="36" spans="1:18" x14ac:dyDescent="0.35">
      <c r="A36" t="str">
        <f t="shared" si="0"/>
        <v>ORD-2026-0035</v>
      </c>
      <c r="B36" s="2">
        <v>45734</v>
      </c>
      <c r="C36" t="str">
        <f>TEXT(tblSales[[#This Row],[Date]],"mmmm")</f>
        <v>March</v>
      </c>
      <c r="D36" t="s">
        <v>28</v>
      </c>
      <c r="E36" t="str">
        <f>_xlfn.XLOOKUP(tblSales[[#This Row],[Saleperson]],Lookup_Tables!$B$5:$B$16,Lookup_Tables!$C$5:$C$16)</f>
        <v>South</v>
      </c>
      <c r="F36" s="5" t="s">
        <v>68</v>
      </c>
      <c r="G36" t="str">
        <f>_xlfn.XLOOKUP(tblSales[[#This Row],[Customer]],Lookup_Tables!$I$5:$I$34,Lookup_Tables!$J$5:$J$34)</f>
        <v>Government</v>
      </c>
      <c r="H36" t="str">
        <f>_xlfn.XLOOKUP(tblSales[[#This Row],[Product]],Lookup_Tables!$F$5:$F$23,Lookup_Tables!$E$5:$E$23,"")</f>
        <v>Electronics</v>
      </c>
      <c r="I36" t="s">
        <v>41</v>
      </c>
      <c r="J36" s="11">
        <v>7</v>
      </c>
      <c r="K36" s="1">
        <f>_xlfn.XLOOKUP(tblSales[[#This Row],[Product]],Lookup_Tables!$F$5:$F$23,Lookup_Tables!$G$5:$G$23,"")</f>
        <v>720</v>
      </c>
      <c r="L36" s="12">
        <f>_xlfn.XLOOKUP(tblSales[[#This Row],[Customer Type]],Lookup_Tables!$B$19:$B$21,Lookup_Tables!$C$19:$C$21,0)</f>
        <v>0.15</v>
      </c>
      <c r="M36" t="s">
        <v>34</v>
      </c>
      <c r="N36" s="11" t="str">
        <f>"Q"&amp;ROUNDUP(MONTH(tblSales[[#This Row],[Date]])/3,0)</f>
        <v>Q1</v>
      </c>
      <c r="O36" s="11">
        <f>YEAR(tblSales[[#This Row],[Date]])</f>
        <v>2025</v>
      </c>
      <c r="P36" s="1">
        <f>tblSales[[#This Row],[Quantity]]*tblSales[[#This Row],[Unit Price]]</f>
        <v>5040</v>
      </c>
      <c r="Q36" s="1">
        <f>tblSales[[#This Row],[Gross Sales]]*tblSales[[#This Row],[Discount%]]</f>
        <v>756</v>
      </c>
      <c r="R36" s="1">
        <f>tblSales[[#This Row],[Gross Sales]]-tblSales[[#This Row],[Discount Amount]]</f>
        <v>4284</v>
      </c>
    </row>
    <row r="37" spans="1:18" x14ac:dyDescent="0.35">
      <c r="A37" t="str">
        <f t="shared" si="0"/>
        <v>ORD-2026-0036</v>
      </c>
      <c r="B37" s="2">
        <v>45737</v>
      </c>
      <c r="C37" t="str">
        <f>TEXT(tblSales[[#This Row],[Date]],"mmmm")</f>
        <v>March</v>
      </c>
      <c r="D37" t="s">
        <v>22</v>
      </c>
      <c r="E37" t="str">
        <f>_xlfn.XLOOKUP(tblSales[[#This Row],[Saleperson]],Lookup_Tables!$B$5:$B$16,Lookup_Tables!$C$5:$C$16)</f>
        <v>North</v>
      </c>
      <c r="F37" t="s">
        <v>65</v>
      </c>
      <c r="G37" t="str">
        <f>_xlfn.XLOOKUP(tblSales[[#This Row],[Customer]],Lookup_Tables!$I$5:$I$34,Lookup_Tables!$J$5:$J$34)</f>
        <v>Retail</v>
      </c>
      <c r="H37" t="str">
        <f>_xlfn.XLOOKUP(tblSales[[#This Row],[Product]],Lookup_Tables!$F$5:$F$23,Lookup_Tables!$E$5:$E$23,"")</f>
        <v>Furniture</v>
      </c>
      <c r="I37" t="s">
        <v>46</v>
      </c>
      <c r="J37" s="11">
        <v>3</v>
      </c>
      <c r="K37" s="1">
        <f>_xlfn.XLOOKUP(tblSales[[#This Row],[Product]],Lookup_Tables!$F$5:$F$23,Lookup_Tables!$G$5:$G$23,"")</f>
        <v>3100</v>
      </c>
      <c r="L37" s="12">
        <f>_xlfn.XLOOKUP(tblSales[[#This Row],[Customer Type]],Lookup_Tables!$B$19:$B$21,Lookup_Tables!$C$19:$C$21,0)</f>
        <v>0</v>
      </c>
      <c r="M37" t="s">
        <v>33</v>
      </c>
      <c r="N37" s="11" t="str">
        <f>"Q"&amp;ROUNDUP(MONTH(tblSales[[#This Row],[Date]])/3,0)</f>
        <v>Q1</v>
      </c>
      <c r="O37" s="11">
        <f>YEAR(tblSales[[#This Row],[Date]])</f>
        <v>2025</v>
      </c>
      <c r="P37" s="1">
        <f>tblSales[[#This Row],[Quantity]]*tblSales[[#This Row],[Unit Price]]</f>
        <v>9300</v>
      </c>
      <c r="Q37" s="1">
        <f>tblSales[[#This Row],[Gross Sales]]*tblSales[[#This Row],[Discount%]]</f>
        <v>0</v>
      </c>
      <c r="R37" s="1">
        <f>tblSales[[#This Row],[Gross Sales]]-tblSales[[#This Row],[Discount Amount]]</f>
        <v>9300</v>
      </c>
    </row>
    <row r="38" spans="1:18" x14ac:dyDescent="0.35">
      <c r="A38" t="str">
        <f t="shared" si="0"/>
        <v>ORD-2026-0037</v>
      </c>
      <c r="B38" s="2">
        <v>45739</v>
      </c>
      <c r="C38" t="str">
        <f>TEXT(tblSales[[#This Row],[Date]],"mmmm")</f>
        <v>March</v>
      </c>
      <c r="D38" t="s">
        <v>28</v>
      </c>
      <c r="E38" t="str">
        <f>_xlfn.XLOOKUP(tblSales[[#This Row],[Saleperson]],Lookup_Tables!$B$5:$B$16,Lookup_Tables!$C$5:$C$16)</f>
        <v>South</v>
      </c>
      <c r="F38" s="5" t="s">
        <v>73</v>
      </c>
      <c r="G38" t="str">
        <f>_xlfn.XLOOKUP(tblSales[[#This Row],[Customer]],Lookup_Tables!$I$5:$I$34,Lookup_Tables!$J$5:$J$34)</f>
        <v>Retail</v>
      </c>
      <c r="H38" t="str">
        <f>_xlfn.XLOOKUP(tblSales[[#This Row],[Product]],Lookup_Tables!$F$5:$F$23,Lookup_Tables!$E$5:$E$23,"")</f>
        <v>Office Supplies</v>
      </c>
      <c r="I38" t="s">
        <v>52</v>
      </c>
      <c r="J38" s="11">
        <v>7</v>
      </c>
      <c r="K38" s="1">
        <f>_xlfn.XLOOKUP(tblSales[[#This Row],[Product]],Lookup_Tables!$F$5:$F$23,Lookup_Tables!$G$5:$G$23,"")</f>
        <v>60</v>
      </c>
      <c r="L38" s="12">
        <f>_xlfn.XLOOKUP(tblSales[[#This Row],[Customer Type]],Lookup_Tables!$B$19:$B$21,Lookup_Tables!$C$19:$C$21,0)</f>
        <v>0</v>
      </c>
      <c r="M38" t="s">
        <v>35</v>
      </c>
      <c r="N38" s="11" t="str">
        <f>"Q"&amp;ROUNDUP(MONTH(tblSales[[#This Row],[Date]])/3,0)</f>
        <v>Q1</v>
      </c>
      <c r="O38" s="11">
        <f>YEAR(tblSales[[#This Row],[Date]])</f>
        <v>2025</v>
      </c>
      <c r="P38" s="1">
        <f>tblSales[[#This Row],[Quantity]]*tblSales[[#This Row],[Unit Price]]</f>
        <v>420</v>
      </c>
      <c r="Q38" s="1">
        <f>tblSales[[#This Row],[Gross Sales]]*tblSales[[#This Row],[Discount%]]</f>
        <v>0</v>
      </c>
      <c r="R38" s="1">
        <f>tblSales[[#This Row],[Gross Sales]]-tblSales[[#This Row],[Discount Amount]]</f>
        <v>420</v>
      </c>
    </row>
    <row r="39" spans="1:18" x14ac:dyDescent="0.35">
      <c r="A39" t="str">
        <f t="shared" si="0"/>
        <v>ORD-2026-0038</v>
      </c>
      <c r="B39" s="2">
        <v>45739</v>
      </c>
      <c r="C39" t="str">
        <f>TEXT(tblSales[[#This Row],[Date]],"mmmm")</f>
        <v>March</v>
      </c>
      <c r="D39" t="s">
        <v>27</v>
      </c>
      <c r="E39" t="str">
        <f>_xlfn.XLOOKUP(tblSales[[#This Row],[Saleperson]],Lookup_Tables!$B$5:$B$16,Lookup_Tables!$C$5:$C$16)</f>
        <v>East</v>
      </c>
      <c r="F39" s="5" t="s">
        <v>67</v>
      </c>
      <c r="G39" t="str">
        <f>_xlfn.XLOOKUP(tblSales[[#This Row],[Customer]],Lookup_Tables!$I$5:$I$34,Lookup_Tables!$J$5:$J$34)</f>
        <v>Government</v>
      </c>
      <c r="H39" t="str">
        <f>_xlfn.XLOOKUP(tblSales[[#This Row],[Product]],Lookup_Tables!$F$5:$F$23,Lookup_Tables!$E$5:$E$23,"")</f>
        <v>Office Supplies</v>
      </c>
      <c r="I39" t="s">
        <v>49</v>
      </c>
      <c r="J39" s="11">
        <v>4</v>
      </c>
      <c r="K39" s="1">
        <f>_xlfn.XLOOKUP(tblSales[[#This Row],[Product]],Lookup_Tables!$F$5:$F$23,Lookup_Tables!$G$5:$G$23,"")</f>
        <v>120</v>
      </c>
      <c r="L39" s="12">
        <f>_xlfn.XLOOKUP(tblSales[[#This Row],[Customer Type]],Lookup_Tables!$B$19:$B$21,Lookup_Tables!$C$19:$C$21,0)</f>
        <v>0.15</v>
      </c>
      <c r="M39" t="s">
        <v>33</v>
      </c>
      <c r="N39" s="11" t="str">
        <f>"Q"&amp;ROUNDUP(MONTH(tblSales[[#This Row],[Date]])/3,0)</f>
        <v>Q1</v>
      </c>
      <c r="O39" s="11">
        <f>YEAR(tblSales[[#This Row],[Date]])</f>
        <v>2025</v>
      </c>
      <c r="P39" s="1">
        <f>tblSales[[#This Row],[Quantity]]*tblSales[[#This Row],[Unit Price]]</f>
        <v>480</v>
      </c>
      <c r="Q39" s="1">
        <f>tblSales[[#This Row],[Gross Sales]]*tblSales[[#This Row],[Discount%]]</f>
        <v>72</v>
      </c>
      <c r="R39" s="1">
        <f>tblSales[[#This Row],[Gross Sales]]-tblSales[[#This Row],[Discount Amount]]</f>
        <v>408</v>
      </c>
    </row>
    <row r="40" spans="1:18" x14ac:dyDescent="0.35">
      <c r="A40" t="str">
        <f t="shared" si="0"/>
        <v>ORD-2026-0039</v>
      </c>
      <c r="B40" s="2">
        <v>45741</v>
      </c>
      <c r="C40" t="str">
        <f>TEXT(tblSales[[#This Row],[Date]],"mmmm")</f>
        <v>March</v>
      </c>
      <c r="D40" t="s">
        <v>18</v>
      </c>
      <c r="E40" t="str">
        <f>_xlfn.XLOOKUP(tblSales[[#This Row],[Saleperson]],Lookup_Tables!$B$5:$B$16,Lookup_Tables!$C$5:$C$16)</f>
        <v>South</v>
      </c>
      <c r="F40" s="5" t="s">
        <v>69</v>
      </c>
      <c r="G40" t="str">
        <f>_xlfn.XLOOKUP(tblSales[[#This Row],[Customer]],Lookup_Tables!$I$5:$I$34,Lookup_Tables!$J$5:$J$34)</f>
        <v>Retail</v>
      </c>
      <c r="H40" t="str">
        <f>_xlfn.XLOOKUP(tblSales[[#This Row],[Product]],Lookup_Tables!$F$5:$F$23,Lookup_Tables!$E$5:$E$23,"")</f>
        <v>Office Supplies</v>
      </c>
      <c r="I40" t="s">
        <v>54</v>
      </c>
      <c r="J40" s="11">
        <v>6</v>
      </c>
      <c r="K40" s="1">
        <f>_xlfn.XLOOKUP(tblSales[[#This Row],[Product]],Lookup_Tables!$F$5:$F$23,Lookup_Tables!$G$5:$G$23,"")</f>
        <v>210</v>
      </c>
      <c r="L40" s="12">
        <f>_xlfn.XLOOKUP(tblSales[[#This Row],[Customer Type]],Lookup_Tables!$B$19:$B$21,Lookup_Tables!$C$19:$C$21,0)</f>
        <v>0</v>
      </c>
      <c r="M40" t="s">
        <v>35</v>
      </c>
      <c r="N40" s="11" t="str">
        <f>"Q"&amp;ROUNDUP(MONTH(tblSales[[#This Row],[Date]])/3,0)</f>
        <v>Q1</v>
      </c>
      <c r="O40" s="11">
        <f>YEAR(tblSales[[#This Row],[Date]])</f>
        <v>2025</v>
      </c>
      <c r="P40" s="1">
        <f>tblSales[[#This Row],[Quantity]]*tblSales[[#This Row],[Unit Price]]</f>
        <v>1260</v>
      </c>
      <c r="Q40" s="1">
        <f>tblSales[[#This Row],[Gross Sales]]*tblSales[[#This Row],[Discount%]]</f>
        <v>0</v>
      </c>
      <c r="R40" s="1">
        <f>tblSales[[#This Row],[Gross Sales]]-tblSales[[#This Row],[Discount Amount]]</f>
        <v>1260</v>
      </c>
    </row>
    <row r="41" spans="1:18" x14ac:dyDescent="0.35">
      <c r="A41" t="str">
        <f t="shared" si="0"/>
        <v>ORD-2026-0040</v>
      </c>
      <c r="B41" s="2">
        <v>45742</v>
      </c>
      <c r="C41" t="str">
        <f>TEXT(tblSales[[#This Row],[Date]],"mmmm")</f>
        <v>March</v>
      </c>
      <c r="D41" t="s">
        <v>23</v>
      </c>
      <c r="E41" t="str">
        <f>_xlfn.XLOOKUP(tblSales[[#This Row],[Saleperson]],Lookup_Tables!$B$5:$B$16,Lookup_Tables!$C$5:$C$16)</f>
        <v>West</v>
      </c>
      <c r="F41" t="s">
        <v>65</v>
      </c>
      <c r="G41" t="str">
        <f>_xlfn.XLOOKUP(tblSales[[#This Row],[Customer]],Lookup_Tables!$I$5:$I$34,Lookup_Tables!$J$5:$J$34)</f>
        <v>Retail</v>
      </c>
      <c r="H41" t="str">
        <f>_xlfn.XLOOKUP(tblSales[[#This Row],[Product]],Lookup_Tables!$F$5:$F$23,Lookup_Tables!$E$5:$E$23,"")</f>
        <v>Office Supplies</v>
      </c>
      <c r="I41" t="s">
        <v>50</v>
      </c>
      <c r="J41" s="11">
        <v>2</v>
      </c>
      <c r="K41" s="1">
        <f>_xlfn.XLOOKUP(tblSales[[#This Row],[Product]],Lookup_Tables!$F$5:$F$23,Lookup_Tables!$G$5:$G$23,"")</f>
        <v>180</v>
      </c>
      <c r="L41" s="12">
        <f>_xlfn.XLOOKUP(tblSales[[#This Row],[Customer Type]],Lookup_Tables!$B$19:$B$21,Lookup_Tables!$C$19:$C$21,0)</f>
        <v>0</v>
      </c>
      <c r="M41" t="s">
        <v>33</v>
      </c>
      <c r="N41" s="11" t="str">
        <f>"Q"&amp;ROUNDUP(MONTH(tblSales[[#This Row],[Date]])/3,0)</f>
        <v>Q1</v>
      </c>
      <c r="O41" s="11">
        <f>YEAR(tblSales[[#This Row],[Date]])</f>
        <v>2025</v>
      </c>
      <c r="P41" s="1">
        <f>tblSales[[#This Row],[Quantity]]*tblSales[[#This Row],[Unit Price]]</f>
        <v>360</v>
      </c>
      <c r="Q41" s="1">
        <f>tblSales[[#This Row],[Gross Sales]]*tblSales[[#This Row],[Discount%]]</f>
        <v>0</v>
      </c>
      <c r="R41" s="1">
        <f>tblSales[[#This Row],[Gross Sales]]-tblSales[[#This Row],[Discount Amount]]</f>
        <v>360</v>
      </c>
    </row>
    <row r="42" spans="1:18" x14ac:dyDescent="0.35">
      <c r="A42" t="str">
        <f t="shared" si="0"/>
        <v>ORD-2026-0041</v>
      </c>
      <c r="B42" s="2">
        <v>45744</v>
      </c>
      <c r="C42" t="str">
        <f>TEXT(tblSales[[#This Row],[Date]],"mmmm")</f>
        <v>March</v>
      </c>
      <c r="D42" t="s">
        <v>24</v>
      </c>
      <c r="E42" t="str">
        <f>_xlfn.XLOOKUP(tblSales[[#This Row],[Saleperson]],Lookup_Tables!$B$5:$B$16,Lookup_Tables!$C$5:$C$16)</f>
        <v>South</v>
      </c>
      <c r="F42" t="s">
        <v>71</v>
      </c>
      <c r="G42" t="str">
        <f>_xlfn.XLOOKUP(tblSales[[#This Row],[Customer]],Lookup_Tables!$I$5:$I$34,Lookup_Tables!$J$5:$J$34)</f>
        <v>Government</v>
      </c>
      <c r="H42" t="str">
        <f>_xlfn.XLOOKUP(tblSales[[#This Row],[Product]],Lookup_Tables!$F$5:$F$23,Lookup_Tables!$E$5:$E$23,"")</f>
        <v>Office Supplies</v>
      </c>
      <c r="I42" t="s">
        <v>57</v>
      </c>
      <c r="J42" s="11">
        <v>8</v>
      </c>
      <c r="K42" s="1">
        <f>_xlfn.XLOOKUP(tblSales[[#This Row],[Product]],Lookup_Tables!$F$5:$F$23,Lookup_Tables!$G$5:$G$23,"")</f>
        <v>5000</v>
      </c>
      <c r="L42" s="6">
        <f>_xlfn.XLOOKUP(tblSales[[#This Row],[Customer Type]],Lookup_Tables!$B$19:$B$21,Lookup_Tables!$C$19:$C$21,0)</f>
        <v>0.15</v>
      </c>
      <c r="M42" t="s">
        <v>32</v>
      </c>
      <c r="N42" s="11" t="str">
        <f>"Q"&amp;ROUNDUP(MONTH(tblSales[[#This Row],[Date]])/3,0)</f>
        <v>Q1</v>
      </c>
      <c r="O42" s="11">
        <f>YEAR(tblSales[[#This Row],[Date]])</f>
        <v>2025</v>
      </c>
      <c r="P42" s="1">
        <f>tblSales[[#This Row],[Quantity]]*tblSales[[#This Row],[Unit Price]]</f>
        <v>40000</v>
      </c>
      <c r="Q42" s="1">
        <f>tblSales[[#This Row],[Gross Sales]]*tblSales[[#This Row],[Discount%]]</f>
        <v>6000</v>
      </c>
      <c r="R42" s="1">
        <f>tblSales[[#This Row],[Gross Sales]]-tblSales[[#This Row],[Discount Amount]]</f>
        <v>34000</v>
      </c>
    </row>
    <row r="43" spans="1:18" x14ac:dyDescent="0.35">
      <c r="A43" t="str">
        <f t="shared" si="0"/>
        <v>ORD-2026-0042</v>
      </c>
      <c r="B43" s="2">
        <v>45744</v>
      </c>
      <c r="C43" t="str">
        <f>TEXT(tblSales[[#This Row],[Date]],"mmmm")</f>
        <v>March</v>
      </c>
      <c r="D43" t="s">
        <v>20</v>
      </c>
      <c r="E43" t="str">
        <f>_xlfn.XLOOKUP(tblSales[[#This Row],[Saleperson]],Lookup_Tables!$B$5:$B$16,Lookup_Tables!$C$5:$C$16)</f>
        <v>East</v>
      </c>
      <c r="F43" s="5" t="s">
        <v>74</v>
      </c>
      <c r="G43" t="str">
        <f>_xlfn.XLOOKUP(tblSales[[#This Row],[Customer]],Lookup_Tables!$I$5:$I$34,Lookup_Tables!$J$5:$J$34)</f>
        <v>Retail</v>
      </c>
      <c r="H43" t="str">
        <f>_xlfn.XLOOKUP(tblSales[[#This Row],[Product]],Lookup_Tables!$F$5:$F$23,Lookup_Tables!$E$5:$E$23,"")</f>
        <v>Office Supplies</v>
      </c>
      <c r="I43" t="s">
        <v>53</v>
      </c>
      <c r="J43" s="11">
        <v>7</v>
      </c>
      <c r="K43" s="1">
        <f>_xlfn.XLOOKUP(tblSales[[#This Row],[Product]],Lookup_Tables!$F$5:$F$23,Lookup_Tables!$G$5:$G$23,"")</f>
        <v>32</v>
      </c>
      <c r="L43" s="12">
        <f>_xlfn.XLOOKUP(tblSales[[#This Row],[Customer Type]],Lookup_Tables!$B$19:$B$21,Lookup_Tables!$C$19:$C$21,0)</f>
        <v>0</v>
      </c>
      <c r="M43" t="s">
        <v>35</v>
      </c>
      <c r="N43" s="11" t="str">
        <f>"Q"&amp;ROUNDUP(MONTH(tblSales[[#This Row],[Date]])/3,0)</f>
        <v>Q1</v>
      </c>
      <c r="O43" s="11">
        <f>YEAR(tblSales[[#This Row],[Date]])</f>
        <v>2025</v>
      </c>
      <c r="P43" s="1">
        <f>tblSales[[#This Row],[Quantity]]*tblSales[[#This Row],[Unit Price]]</f>
        <v>224</v>
      </c>
      <c r="Q43" s="1">
        <f>tblSales[[#This Row],[Gross Sales]]*tblSales[[#This Row],[Discount%]]</f>
        <v>0</v>
      </c>
      <c r="R43" s="1">
        <f>tblSales[[#This Row],[Gross Sales]]-tblSales[[#This Row],[Discount Amount]]</f>
        <v>224</v>
      </c>
    </row>
    <row r="44" spans="1:18" x14ac:dyDescent="0.35">
      <c r="A44" t="str">
        <f t="shared" si="0"/>
        <v>ORD-2026-0043</v>
      </c>
      <c r="B44" s="2">
        <v>45745</v>
      </c>
      <c r="C44" t="str">
        <f>TEXT(tblSales[[#This Row],[Date]],"mmmm")</f>
        <v>March</v>
      </c>
      <c r="D44" t="s">
        <v>25</v>
      </c>
      <c r="E44" t="str">
        <f>_xlfn.XLOOKUP(tblSales[[#This Row],[Saleperson]],Lookup_Tables!$B$5:$B$16,Lookup_Tables!$C$5:$C$16)</f>
        <v>West</v>
      </c>
      <c r="F44" t="s">
        <v>63</v>
      </c>
      <c r="G44" t="str">
        <f>_xlfn.XLOOKUP(tblSales[[#This Row],[Customer]],Lookup_Tables!$I$5:$I$34,Lookup_Tables!$J$5:$J$34)</f>
        <v>Retail</v>
      </c>
      <c r="H44" t="str">
        <f>_xlfn.XLOOKUP(tblSales[[#This Row],[Product]],Lookup_Tables!$F$5:$F$23,Lookup_Tables!$E$5:$E$23,"")</f>
        <v>Office Supplies</v>
      </c>
      <c r="I44" t="s">
        <v>54</v>
      </c>
      <c r="J44" s="11">
        <v>3</v>
      </c>
      <c r="K44" s="1">
        <f>_xlfn.XLOOKUP(tblSales[[#This Row],[Product]],Lookup_Tables!$F$5:$F$23,Lookup_Tables!$G$5:$G$23,"")</f>
        <v>210</v>
      </c>
      <c r="L44" s="12">
        <f>_xlfn.XLOOKUP(tblSales[[#This Row],[Customer Type]],Lookup_Tables!$B$19:$B$21,Lookup_Tables!$C$19:$C$21,0)</f>
        <v>0</v>
      </c>
      <c r="M44" t="s">
        <v>34</v>
      </c>
      <c r="N44" s="11" t="str">
        <f>"Q"&amp;ROUNDUP(MONTH(tblSales[[#This Row],[Date]])/3,0)</f>
        <v>Q1</v>
      </c>
      <c r="O44" s="11">
        <f>YEAR(tblSales[[#This Row],[Date]])</f>
        <v>2025</v>
      </c>
      <c r="P44" s="1">
        <f>tblSales[[#This Row],[Quantity]]*tblSales[[#This Row],[Unit Price]]</f>
        <v>630</v>
      </c>
      <c r="Q44" s="1">
        <f>tblSales[[#This Row],[Gross Sales]]*tblSales[[#This Row],[Discount%]]</f>
        <v>0</v>
      </c>
      <c r="R44" s="1">
        <f>tblSales[[#This Row],[Gross Sales]]-tblSales[[#This Row],[Discount Amount]]</f>
        <v>630</v>
      </c>
    </row>
    <row r="45" spans="1:18" x14ac:dyDescent="0.35">
      <c r="A45" t="str">
        <f t="shared" si="0"/>
        <v>ORD-2026-0044</v>
      </c>
      <c r="B45" s="2">
        <v>45748</v>
      </c>
      <c r="C45" t="str">
        <f>TEXT(tblSales[[#This Row],[Date]],"mmmm")</f>
        <v>April</v>
      </c>
      <c r="D45" t="s">
        <v>19</v>
      </c>
      <c r="E45" t="str">
        <f>_xlfn.XLOOKUP(tblSales[[#This Row],[Saleperson]],Lookup_Tables!$B$5:$B$16,Lookup_Tables!$C$5:$C$16)</f>
        <v>West</v>
      </c>
      <c r="F45" t="s">
        <v>65</v>
      </c>
      <c r="G45" t="str">
        <f>_xlfn.XLOOKUP(tblSales[[#This Row],[Customer]],Lookup_Tables!$I$5:$I$34,Lookup_Tables!$J$5:$J$34)</f>
        <v>Retail</v>
      </c>
      <c r="H45" t="str">
        <f>_xlfn.XLOOKUP(tblSales[[#This Row],[Product]],Lookup_Tables!$F$5:$F$23,Lookup_Tables!$E$5:$E$23,"")</f>
        <v>Electronics</v>
      </c>
      <c r="I45" t="s">
        <v>38</v>
      </c>
      <c r="J45" s="11">
        <v>3</v>
      </c>
      <c r="K45" s="1">
        <f>_xlfn.XLOOKUP(tblSales[[#This Row],[Product]],Lookup_Tables!$F$5:$F$23,Lookup_Tables!$G$5:$G$23,"")</f>
        <v>6000</v>
      </c>
      <c r="L45" s="12">
        <f>_xlfn.XLOOKUP(tblSales[[#This Row],[Customer Type]],Lookup_Tables!$B$19:$B$21,Lookup_Tables!$C$19:$C$21,0)</f>
        <v>0</v>
      </c>
      <c r="M45" t="s">
        <v>33</v>
      </c>
      <c r="N45" s="11" t="str">
        <f>"Q"&amp;ROUNDUP(MONTH(tblSales[[#This Row],[Date]])/3,0)</f>
        <v>Q2</v>
      </c>
      <c r="O45" s="11">
        <f>YEAR(tblSales[[#This Row],[Date]])</f>
        <v>2025</v>
      </c>
      <c r="P45" s="1">
        <f>tblSales[[#This Row],[Quantity]]*tblSales[[#This Row],[Unit Price]]</f>
        <v>18000</v>
      </c>
      <c r="Q45" s="1">
        <f>tblSales[[#This Row],[Gross Sales]]*tblSales[[#This Row],[Discount%]]</f>
        <v>0</v>
      </c>
      <c r="R45" s="1">
        <f>tblSales[[#This Row],[Gross Sales]]-tblSales[[#This Row],[Discount Amount]]</f>
        <v>18000</v>
      </c>
    </row>
    <row r="46" spans="1:18" x14ac:dyDescent="0.35">
      <c r="A46" t="str">
        <f t="shared" si="0"/>
        <v>ORD-2026-0045</v>
      </c>
      <c r="B46" s="2">
        <v>45748</v>
      </c>
      <c r="C46" t="str">
        <f>TEXT(tblSales[[#This Row],[Date]],"mmmm")</f>
        <v>April</v>
      </c>
      <c r="D46" t="s">
        <v>17</v>
      </c>
      <c r="E46" t="str">
        <f>_xlfn.XLOOKUP(tblSales[[#This Row],[Saleperson]],Lookup_Tables!$B$5:$B$16,Lookup_Tables!$C$5:$C$16)</f>
        <v>North</v>
      </c>
      <c r="F46" s="5" t="s">
        <v>77</v>
      </c>
      <c r="G46" t="str">
        <f>_xlfn.XLOOKUP(tblSales[[#This Row],[Customer]],Lookup_Tables!$I$5:$I$34,Lookup_Tables!$J$5:$J$34)</f>
        <v>Retail</v>
      </c>
      <c r="H46" t="str">
        <f>_xlfn.XLOOKUP(tblSales[[#This Row],[Product]],Lookup_Tables!$F$5:$F$23,Lookup_Tables!$E$5:$E$23,"")</f>
        <v>Furniture</v>
      </c>
      <c r="I46" t="s">
        <v>45</v>
      </c>
      <c r="J46" s="11">
        <v>5</v>
      </c>
      <c r="K46" s="1">
        <f>_xlfn.XLOOKUP(tblSales[[#This Row],[Product]],Lookup_Tables!$F$5:$F$23,Lookup_Tables!$G$5:$G$23,"")</f>
        <v>5200</v>
      </c>
      <c r="L46" s="12">
        <f>_xlfn.XLOOKUP(tblSales[[#This Row],[Customer Type]],Lookup_Tables!$B$19:$B$21,Lookup_Tables!$C$19:$C$21,0)</f>
        <v>0</v>
      </c>
      <c r="M46" t="s">
        <v>35</v>
      </c>
      <c r="N46" s="11" t="str">
        <f>"Q"&amp;ROUNDUP(MONTH(tblSales[[#This Row],[Date]])/3,0)</f>
        <v>Q2</v>
      </c>
      <c r="O46" s="11">
        <f>YEAR(tblSales[[#This Row],[Date]])</f>
        <v>2025</v>
      </c>
      <c r="P46" s="1">
        <f>tblSales[[#This Row],[Quantity]]*tblSales[[#This Row],[Unit Price]]</f>
        <v>26000</v>
      </c>
      <c r="Q46" s="1">
        <f>tblSales[[#This Row],[Gross Sales]]*tblSales[[#This Row],[Discount%]]</f>
        <v>0</v>
      </c>
      <c r="R46" s="1">
        <f>tblSales[[#This Row],[Gross Sales]]-tblSales[[#This Row],[Discount Amount]]</f>
        <v>26000</v>
      </c>
    </row>
    <row r="47" spans="1:18" x14ac:dyDescent="0.35">
      <c r="A47" t="str">
        <f t="shared" si="0"/>
        <v>ORD-2026-0046</v>
      </c>
      <c r="B47" s="2">
        <v>45751</v>
      </c>
      <c r="C47" t="str">
        <f>TEXT(tblSales[[#This Row],[Date]],"mmmm")</f>
        <v>April</v>
      </c>
      <c r="D47" t="s">
        <v>26</v>
      </c>
      <c r="E47" t="str">
        <f>_xlfn.XLOOKUP(tblSales[[#This Row],[Saleperson]],Lookup_Tables!$B$5:$B$16,Lookup_Tables!$C$5:$C$16)</f>
        <v>North</v>
      </c>
      <c r="F47" s="5" t="s">
        <v>69</v>
      </c>
      <c r="G47" t="str">
        <f>_xlfn.XLOOKUP(tblSales[[#This Row],[Customer]],Lookup_Tables!$I$5:$I$34,Lookup_Tables!$J$5:$J$34)</f>
        <v>Retail</v>
      </c>
      <c r="H47" t="str">
        <f>_xlfn.XLOOKUP(tblSales[[#This Row],[Product]],Lookup_Tables!$F$5:$F$23,Lookup_Tables!$E$5:$E$23,"")</f>
        <v>Furniture</v>
      </c>
      <c r="I47" t="s">
        <v>43</v>
      </c>
      <c r="J47" s="11">
        <v>4</v>
      </c>
      <c r="K47" s="1">
        <f>_xlfn.XLOOKUP(tblSales[[#This Row],[Product]],Lookup_Tables!$F$5:$F$23,Lookup_Tables!$G$5:$G$23,"")</f>
        <v>4200</v>
      </c>
      <c r="L47" s="12">
        <f>_xlfn.XLOOKUP(tblSales[[#This Row],[Customer Type]],Lookup_Tables!$B$19:$B$21,Lookup_Tables!$C$19:$C$21,0)</f>
        <v>0</v>
      </c>
      <c r="M47" t="s">
        <v>33</v>
      </c>
      <c r="N47" s="11" t="str">
        <f>"Q"&amp;ROUNDUP(MONTH(tblSales[[#This Row],[Date]])/3,0)</f>
        <v>Q2</v>
      </c>
      <c r="O47" s="11">
        <f>YEAR(tblSales[[#This Row],[Date]])</f>
        <v>2025</v>
      </c>
      <c r="P47" s="1">
        <f>tblSales[[#This Row],[Quantity]]*tblSales[[#This Row],[Unit Price]]</f>
        <v>16800</v>
      </c>
      <c r="Q47" s="1">
        <f>tblSales[[#This Row],[Gross Sales]]*tblSales[[#This Row],[Discount%]]</f>
        <v>0</v>
      </c>
      <c r="R47" s="1">
        <f>tblSales[[#This Row],[Gross Sales]]-tblSales[[#This Row],[Discount Amount]]</f>
        <v>16800</v>
      </c>
    </row>
    <row r="48" spans="1:18" x14ac:dyDescent="0.35">
      <c r="A48" t="str">
        <f t="shared" si="0"/>
        <v>ORD-2026-0047</v>
      </c>
      <c r="B48" s="2">
        <v>45751</v>
      </c>
      <c r="C48" t="str">
        <f>TEXT(tblSales[[#This Row],[Date]],"mmmm")</f>
        <v>April</v>
      </c>
      <c r="D48" t="s">
        <v>21</v>
      </c>
      <c r="E48" t="str">
        <f>_xlfn.XLOOKUP(tblSales[[#This Row],[Saleperson]],Lookup_Tables!$B$5:$B$16,Lookup_Tables!$C$5:$C$16)</f>
        <v>South</v>
      </c>
      <c r="F48" t="s">
        <v>63</v>
      </c>
      <c r="G48" t="str">
        <f>_xlfn.XLOOKUP(tblSales[[#This Row],[Customer]],Lookup_Tables!$I$5:$I$34,Lookup_Tables!$J$5:$J$34)</f>
        <v>Retail</v>
      </c>
      <c r="H48" t="str">
        <f>_xlfn.XLOOKUP(tblSales[[#This Row],[Product]],Lookup_Tables!$F$5:$F$23,Lookup_Tables!$E$5:$E$23,"")</f>
        <v>Office Supplies</v>
      </c>
      <c r="I48" t="s">
        <v>49</v>
      </c>
      <c r="J48" s="11">
        <v>4</v>
      </c>
      <c r="K48" s="1">
        <f>_xlfn.XLOOKUP(tblSales[[#This Row],[Product]],Lookup_Tables!$F$5:$F$23,Lookup_Tables!$G$5:$G$23,"")</f>
        <v>120</v>
      </c>
      <c r="L48" s="12">
        <f>_xlfn.XLOOKUP(tblSales[[#This Row],[Customer Type]],Lookup_Tables!$B$19:$B$21,Lookup_Tables!$C$19:$C$21,0)</f>
        <v>0</v>
      </c>
      <c r="M48" t="s">
        <v>33</v>
      </c>
      <c r="N48" s="11" t="str">
        <f>"Q"&amp;ROUNDUP(MONTH(tblSales[[#This Row],[Date]])/3,0)</f>
        <v>Q2</v>
      </c>
      <c r="O48" s="11">
        <f>YEAR(tblSales[[#This Row],[Date]])</f>
        <v>2025</v>
      </c>
      <c r="P48" s="1">
        <f>tblSales[[#This Row],[Quantity]]*tblSales[[#This Row],[Unit Price]]</f>
        <v>480</v>
      </c>
      <c r="Q48" s="1">
        <f>tblSales[[#This Row],[Gross Sales]]*tblSales[[#This Row],[Discount%]]</f>
        <v>0</v>
      </c>
      <c r="R48" s="1">
        <f>tblSales[[#This Row],[Gross Sales]]-tblSales[[#This Row],[Discount Amount]]</f>
        <v>480</v>
      </c>
    </row>
    <row r="49" spans="1:18" x14ac:dyDescent="0.35">
      <c r="A49" t="str">
        <f t="shared" si="0"/>
        <v>ORD-2026-0048</v>
      </c>
      <c r="B49" s="2">
        <v>45753</v>
      </c>
      <c r="C49" t="str">
        <f>TEXT(tblSales[[#This Row],[Date]],"mmmm")</f>
        <v>April</v>
      </c>
      <c r="D49" t="s">
        <v>27</v>
      </c>
      <c r="E49" t="str">
        <f>_xlfn.XLOOKUP(tblSales[[#This Row],[Saleperson]],Lookup_Tables!$B$5:$B$16,Lookup_Tables!$C$5:$C$16)</f>
        <v>East</v>
      </c>
      <c r="F49" t="s">
        <v>65</v>
      </c>
      <c r="G49" t="str">
        <f>_xlfn.XLOOKUP(tblSales[[#This Row],[Customer]],Lookup_Tables!$I$5:$I$34,Lookup_Tables!$J$5:$J$34)</f>
        <v>Retail</v>
      </c>
      <c r="H49" t="str">
        <f>_xlfn.XLOOKUP(tblSales[[#This Row],[Product]],Lookup_Tables!$F$5:$F$23,Lookup_Tables!$E$5:$E$23,"")</f>
        <v>Furniture</v>
      </c>
      <c r="I49" t="s">
        <v>47</v>
      </c>
      <c r="J49" s="11">
        <v>7</v>
      </c>
      <c r="K49" s="1">
        <f>_xlfn.XLOOKUP(tblSales[[#This Row],[Product]],Lookup_Tables!$F$5:$F$23,Lookup_Tables!$G$5:$G$23,"")</f>
        <v>7500</v>
      </c>
      <c r="L49" s="12">
        <f>_xlfn.XLOOKUP(tblSales[[#This Row],[Customer Type]],Lookup_Tables!$B$19:$B$21,Lookup_Tables!$C$19:$C$21,0)</f>
        <v>0</v>
      </c>
      <c r="M49" t="s">
        <v>34</v>
      </c>
      <c r="N49" s="11" t="str">
        <f>"Q"&amp;ROUNDUP(MONTH(tblSales[[#This Row],[Date]])/3,0)</f>
        <v>Q2</v>
      </c>
      <c r="O49" s="11">
        <f>YEAR(tblSales[[#This Row],[Date]])</f>
        <v>2025</v>
      </c>
      <c r="P49" s="1">
        <f>tblSales[[#This Row],[Quantity]]*tblSales[[#This Row],[Unit Price]]</f>
        <v>52500</v>
      </c>
      <c r="Q49" s="1">
        <f>tblSales[[#This Row],[Gross Sales]]*tblSales[[#This Row],[Discount%]]</f>
        <v>0</v>
      </c>
      <c r="R49" s="1">
        <f>tblSales[[#This Row],[Gross Sales]]-tblSales[[#This Row],[Discount Amount]]</f>
        <v>52500</v>
      </c>
    </row>
    <row r="50" spans="1:18" x14ac:dyDescent="0.35">
      <c r="A50" t="str">
        <f t="shared" si="0"/>
        <v>ORD-2026-0049</v>
      </c>
      <c r="B50" s="2">
        <v>45753</v>
      </c>
      <c r="C50" t="str">
        <f>TEXT(tblSales[[#This Row],[Date]],"mmmm")</f>
        <v>April</v>
      </c>
      <c r="D50" t="s">
        <v>22</v>
      </c>
      <c r="E50" t="str">
        <f>_xlfn.XLOOKUP(tblSales[[#This Row],[Saleperson]],Lookup_Tables!$B$5:$B$16,Lookup_Tables!$C$5:$C$16)</f>
        <v>North</v>
      </c>
      <c r="F50" t="s">
        <v>63</v>
      </c>
      <c r="G50" t="str">
        <f>_xlfn.XLOOKUP(tblSales[[#This Row],[Customer]],Lookup_Tables!$I$5:$I$34,Lookup_Tables!$J$5:$J$34)</f>
        <v>Retail</v>
      </c>
      <c r="H50" t="str">
        <f>_xlfn.XLOOKUP(tblSales[[#This Row],[Product]],Lookup_Tables!$F$5:$F$23,Lookup_Tables!$E$5:$E$23,"")</f>
        <v>Furniture</v>
      </c>
      <c r="I50" t="s">
        <v>43</v>
      </c>
      <c r="J50" s="11">
        <v>4</v>
      </c>
      <c r="K50" s="1">
        <f>_xlfn.XLOOKUP(tblSales[[#This Row],[Product]],Lookup_Tables!$F$5:$F$23,Lookup_Tables!$G$5:$G$23,"")</f>
        <v>4200</v>
      </c>
      <c r="L50" s="12">
        <f>_xlfn.XLOOKUP(tblSales[[#This Row],[Customer Type]],Lookup_Tables!$B$19:$B$21,Lookup_Tables!$C$19:$C$21,0)</f>
        <v>0</v>
      </c>
      <c r="M50" t="s">
        <v>32</v>
      </c>
      <c r="N50" s="11" t="str">
        <f>"Q"&amp;ROUNDUP(MONTH(tblSales[[#This Row],[Date]])/3,0)</f>
        <v>Q2</v>
      </c>
      <c r="O50" s="11">
        <f>YEAR(tblSales[[#This Row],[Date]])</f>
        <v>2025</v>
      </c>
      <c r="P50" s="1">
        <f>tblSales[[#This Row],[Quantity]]*tblSales[[#This Row],[Unit Price]]</f>
        <v>16800</v>
      </c>
      <c r="Q50" s="1">
        <f>tblSales[[#This Row],[Gross Sales]]*tblSales[[#This Row],[Discount%]]</f>
        <v>0</v>
      </c>
      <c r="R50" s="1">
        <f>tblSales[[#This Row],[Gross Sales]]-tblSales[[#This Row],[Discount Amount]]</f>
        <v>16800</v>
      </c>
    </row>
    <row r="51" spans="1:18" x14ac:dyDescent="0.35">
      <c r="A51" t="str">
        <f t="shared" si="0"/>
        <v>ORD-2026-0050</v>
      </c>
      <c r="B51" s="2">
        <v>45757</v>
      </c>
      <c r="C51" t="str">
        <f>TEXT(tblSales[[#This Row],[Date]],"mmmm")</f>
        <v>April</v>
      </c>
      <c r="D51" t="s">
        <v>28</v>
      </c>
      <c r="E51" t="str">
        <f>_xlfn.XLOOKUP(tblSales[[#This Row],[Saleperson]],Lookup_Tables!$B$5:$B$16,Lookup_Tables!$C$5:$C$16)</f>
        <v>South</v>
      </c>
      <c r="F51" s="5" t="s">
        <v>70</v>
      </c>
      <c r="G51" t="str">
        <f>_xlfn.XLOOKUP(tblSales[[#This Row],[Customer]],Lookup_Tables!$I$5:$I$34,Lookup_Tables!$J$5:$J$34)</f>
        <v>Retail</v>
      </c>
      <c r="H51" t="str">
        <f>_xlfn.XLOOKUP(tblSales[[#This Row],[Product]],Lookup_Tables!$F$5:$F$23,Lookup_Tables!$E$5:$E$23,"")</f>
        <v>Furniture</v>
      </c>
      <c r="I51" t="s">
        <v>45</v>
      </c>
      <c r="J51" s="11">
        <v>2</v>
      </c>
      <c r="K51" s="1">
        <f>_xlfn.XLOOKUP(tblSales[[#This Row],[Product]],Lookup_Tables!$F$5:$F$23,Lookup_Tables!$G$5:$G$23,"")</f>
        <v>5200</v>
      </c>
      <c r="L51" s="12">
        <f>_xlfn.XLOOKUP(tblSales[[#This Row],[Customer Type]],Lookup_Tables!$B$19:$B$21,Lookup_Tables!$C$19:$C$21,0)</f>
        <v>0</v>
      </c>
      <c r="M51" t="s">
        <v>34</v>
      </c>
      <c r="N51" s="11" t="str">
        <f>"Q"&amp;ROUNDUP(MONTH(tblSales[[#This Row],[Date]])/3,0)</f>
        <v>Q2</v>
      </c>
      <c r="O51" s="11">
        <f>YEAR(tblSales[[#This Row],[Date]])</f>
        <v>2025</v>
      </c>
      <c r="P51" s="1">
        <f>tblSales[[#This Row],[Quantity]]*tblSales[[#This Row],[Unit Price]]</f>
        <v>10400</v>
      </c>
      <c r="Q51" s="1">
        <f>tblSales[[#This Row],[Gross Sales]]*tblSales[[#This Row],[Discount%]]</f>
        <v>0</v>
      </c>
      <c r="R51" s="1">
        <f>tblSales[[#This Row],[Gross Sales]]-tblSales[[#This Row],[Discount Amount]]</f>
        <v>10400</v>
      </c>
    </row>
    <row r="52" spans="1:18" x14ac:dyDescent="0.35">
      <c r="A52" t="str">
        <f t="shared" si="0"/>
        <v>ORD-2026-0051</v>
      </c>
      <c r="B52" s="2">
        <v>45760</v>
      </c>
      <c r="C52" t="str">
        <f>TEXT(tblSales[[#This Row],[Date]],"mmmm")</f>
        <v>April</v>
      </c>
      <c r="D52" t="s">
        <v>23</v>
      </c>
      <c r="E52" t="str">
        <f>_xlfn.XLOOKUP(tblSales[[#This Row],[Saleperson]],Lookup_Tables!$B$5:$B$16,Lookup_Tables!$C$5:$C$16)</f>
        <v>West</v>
      </c>
      <c r="F52" s="5" t="s">
        <v>84</v>
      </c>
      <c r="G52" t="str">
        <f>_xlfn.XLOOKUP(tblSales[[#This Row],[Customer]],Lookup_Tables!$I$5:$I$34,Lookup_Tables!$J$5:$J$34)</f>
        <v>Retail</v>
      </c>
      <c r="H52" t="str">
        <f>_xlfn.XLOOKUP(tblSales[[#This Row],[Product]],Lookup_Tables!$F$5:$F$23,Lookup_Tables!$E$5:$E$23,"")</f>
        <v>Office Supplies</v>
      </c>
      <c r="I52" t="s">
        <v>50</v>
      </c>
      <c r="J52" s="11">
        <v>7</v>
      </c>
      <c r="K52" s="1">
        <f>_xlfn.XLOOKUP(tblSales[[#This Row],[Product]],Lookup_Tables!$F$5:$F$23,Lookup_Tables!$G$5:$G$23,"")</f>
        <v>180</v>
      </c>
      <c r="L52" s="12">
        <f>_xlfn.XLOOKUP(tblSales[[#This Row],[Customer Type]],Lookup_Tables!$B$19:$B$21,Lookup_Tables!$C$19:$C$21,0)</f>
        <v>0</v>
      </c>
      <c r="M52" t="s">
        <v>35</v>
      </c>
      <c r="N52" s="11" t="str">
        <f>"Q"&amp;ROUNDUP(MONTH(tblSales[[#This Row],[Date]])/3,0)</f>
        <v>Q2</v>
      </c>
      <c r="O52" s="11">
        <f>YEAR(tblSales[[#This Row],[Date]])</f>
        <v>2025</v>
      </c>
      <c r="P52" s="1">
        <f>tblSales[[#This Row],[Quantity]]*tblSales[[#This Row],[Unit Price]]</f>
        <v>1260</v>
      </c>
      <c r="Q52" s="1">
        <f>tblSales[[#This Row],[Gross Sales]]*tblSales[[#This Row],[Discount%]]</f>
        <v>0</v>
      </c>
      <c r="R52" s="1">
        <f>tblSales[[#This Row],[Gross Sales]]-tblSales[[#This Row],[Discount Amount]]</f>
        <v>1260</v>
      </c>
    </row>
    <row r="53" spans="1:18" x14ac:dyDescent="0.35">
      <c r="A53" t="str">
        <f t="shared" si="0"/>
        <v>ORD-2026-0052</v>
      </c>
      <c r="B53" s="2">
        <v>45764</v>
      </c>
      <c r="C53" t="str">
        <f>TEXT(tblSales[[#This Row],[Date]],"mmmm")</f>
        <v>April</v>
      </c>
      <c r="D53" t="s">
        <v>28</v>
      </c>
      <c r="E53" t="str">
        <f>_xlfn.XLOOKUP(tblSales[[#This Row],[Saleperson]],Lookup_Tables!$B$5:$B$16,Lookup_Tables!$C$5:$C$16)</f>
        <v>South</v>
      </c>
      <c r="F53" t="s">
        <v>63</v>
      </c>
      <c r="G53" t="str">
        <f>_xlfn.XLOOKUP(tblSales[[#This Row],[Customer]],Lookup_Tables!$I$5:$I$34,Lookup_Tables!$J$5:$J$34)</f>
        <v>Retail</v>
      </c>
      <c r="H53" t="str">
        <f>_xlfn.XLOOKUP(tblSales[[#This Row],[Product]],Lookup_Tables!$F$5:$F$23,Lookup_Tables!$E$5:$E$23,"")</f>
        <v>Office Supplies</v>
      </c>
      <c r="I53" t="s">
        <v>49</v>
      </c>
      <c r="J53" s="11">
        <v>7</v>
      </c>
      <c r="K53" s="1">
        <f>_xlfn.XLOOKUP(tblSales[[#This Row],[Product]],Lookup_Tables!$F$5:$F$23,Lookup_Tables!$G$5:$G$23,"")</f>
        <v>120</v>
      </c>
      <c r="L53" s="12">
        <f>_xlfn.XLOOKUP(tblSales[[#This Row],[Customer Type]],Lookup_Tables!$B$19:$B$21,Lookup_Tables!$C$19:$C$21,0)</f>
        <v>0</v>
      </c>
      <c r="M53" t="s">
        <v>34</v>
      </c>
      <c r="N53" s="11" t="str">
        <f>"Q"&amp;ROUNDUP(MONTH(tblSales[[#This Row],[Date]])/3,0)</f>
        <v>Q2</v>
      </c>
      <c r="O53" s="11">
        <f>YEAR(tblSales[[#This Row],[Date]])</f>
        <v>2025</v>
      </c>
      <c r="P53" s="1">
        <f>tblSales[[#This Row],[Quantity]]*tblSales[[#This Row],[Unit Price]]</f>
        <v>840</v>
      </c>
      <c r="Q53" s="1">
        <f>tblSales[[#This Row],[Gross Sales]]*tblSales[[#This Row],[Discount%]]</f>
        <v>0</v>
      </c>
      <c r="R53" s="1">
        <f>tblSales[[#This Row],[Gross Sales]]-tblSales[[#This Row],[Discount Amount]]</f>
        <v>840</v>
      </c>
    </row>
    <row r="54" spans="1:18" x14ac:dyDescent="0.35">
      <c r="A54" t="str">
        <f t="shared" si="0"/>
        <v>ORD-2026-0053</v>
      </c>
      <c r="B54" s="2">
        <v>45768</v>
      </c>
      <c r="C54" t="str">
        <f>TEXT(tblSales[[#This Row],[Date]],"mmmm")</f>
        <v>April</v>
      </c>
      <c r="D54" t="s">
        <v>24</v>
      </c>
      <c r="E54" t="str">
        <f>_xlfn.XLOOKUP(tblSales[[#This Row],[Saleperson]],Lookup_Tables!$B$5:$B$16,Lookup_Tables!$C$5:$C$16)</f>
        <v>South</v>
      </c>
      <c r="F54" s="5" t="s">
        <v>68</v>
      </c>
      <c r="G54" t="str">
        <f>_xlfn.XLOOKUP(tblSales[[#This Row],[Customer]],Lookup_Tables!$I$5:$I$34,Lookup_Tables!$J$5:$J$34)</f>
        <v>Government</v>
      </c>
      <c r="H54" t="str">
        <f>_xlfn.XLOOKUP(tblSales[[#This Row],[Product]],Lookup_Tables!$F$5:$F$23,Lookup_Tables!$E$5:$E$23,"")</f>
        <v>Furniture</v>
      </c>
      <c r="I54" t="s">
        <v>44</v>
      </c>
      <c r="J54" s="11">
        <v>6</v>
      </c>
      <c r="K54" s="1">
        <f>_xlfn.XLOOKUP(tblSales[[#This Row],[Product]],Lookup_Tables!$F$5:$F$23,Lookup_Tables!$G$5:$G$23,"")</f>
        <v>6900</v>
      </c>
      <c r="L54" s="12">
        <f>_xlfn.XLOOKUP(tblSales[[#This Row],[Customer Type]],Lookup_Tables!$B$19:$B$21,Lookup_Tables!$C$19:$C$21,0)</f>
        <v>0.15</v>
      </c>
      <c r="M54" t="s">
        <v>33</v>
      </c>
      <c r="N54" s="11" t="str">
        <f>"Q"&amp;ROUNDUP(MONTH(tblSales[[#This Row],[Date]])/3,0)</f>
        <v>Q2</v>
      </c>
      <c r="O54" s="11">
        <f>YEAR(tblSales[[#This Row],[Date]])</f>
        <v>2025</v>
      </c>
      <c r="P54" s="1">
        <f>tblSales[[#This Row],[Quantity]]*tblSales[[#This Row],[Unit Price]]</f>
        <v>41400</v>
      </c>
      <c r="Q54" s="1">
        <f>tblSales[[#This Row],[Gross Sales]]*tblSales[[#This Row],[Discount%]]</f>
        <v>6210</v>
      </c>
      <c r="R54" s="1">
        <f>tblSales[[#This Row],[Gross Sales]]-tblSales[[#This Row],[Discount Amount]]</f>
        <v>35190</v>
      </c>
    </row>
    <row r="55" spans="1:18" x14ac:dyDescent="0.35">
      <c r="A55" t="str">
        <f t="shared" si="0"/>
        <v>ORD-2026-0054</v>
      </c>
      <c r="B55" s="2">
        <v>45771</v>
      </c>
      <c r="C55" t="str">
        <f>TEXT(tblSales[[#This Row],[Date]],"mmmm")</f>
        <v>April</v>
      </c>
      <c r="D55" t="s">
        <v>18</v>
      </c>
      <c r="E55" t="str">
        <f>_xlfn.XLOOKUP(tblSales[[#This Row],[Saleperson]],Lookup_Tables!$B$5:$B$16,Lookup_Tables!$C$5:$C$16)</f>
        <v>South</v>
      </c>
      <c r="F55" s="5" t="s">
        <v>71</v>
      </c>
      <c r="G55" t="str">
        <f>_xlfn.XLOOKUP(tblSales[[#This Row],[Customer]],Lookup_Tables!$I$5:$I$34,Lookup_Tables!$J$5:$J$34)</f>
        <v>Government</v>
      </c>
      <c r="H55" t="str">
        <f>_xlfn.XLOOKUP(tblSales[[#This Row],[Product]],Lookup_Tables!$F$5:$F$23,Lookup_Tables!$E$5:$E$23,"")</f>
        <v>Office Supplies</v>
      </c>
      <c r="I55" t="s">
        <v>49</v>
      </c>
      <c r="J55" s="11">
        <v>1</v>
      </c>
      <c r="K55" s="1">
        <f>_xlfn.XLOOKUP(tblSales[[#This Row],[Product]],Lookup_Tables!$F$5:$F$23,Lookup_Tables!$G$5:$G$23,"")</f>
        <v>120</v>
      </c>
      <c r="L55" s="12">
        <f>_xlfn.XLOOKUP(tblSales[[#This Row],[Customer Type]],Lookup_Tables!$B$19:$B$21,Lookup_Tables!$C$19:$C$21,0)</f>
        <v>0.15</v>
      </c>
      <c r="M55" t="s">
        <v>32</v>
      </c>
      <c r="N55" s="11" t="str">
        <f>"Q"&amp;ROUNDUP(MONTH(tblSales[[#This Row],[Date]])/3,0)</f>
        <v>Q2</v>
      </c>
      <c r="O55" s="11">
        <f>YEAR(tblSales[[#This Row],[Date]])</f>
        <v>2025</v>
      </c>
      <c r="P55" s="1">
        <f>tblSales[[#This Row],[Quantity]]*tblSales[[#This Row],[Unit Price]]</f>
        <v>120</v>
      </c>
      <c r="Q55" s="1">
        <f>tblSales[[#This Row],[Gross Sales]]*tblSales[[#This Row],[Discount%]]</f>
        <v>18</v>
      </c>
      <c r="R55" s="1">
        <f>tblSales[[#This Row],[Gross Sales]]-tblSales[[#This Row],[Discount Amount]]</f>
        <v>102</v>
      </c>
    </row>
    <row r="56" spans="1:18" x14ac:dyDescent="0.35">
      <c r="A56" t="str">
        <f t="shared" si="0"/>
        <v>ORD-2026-0055</v>
      </c>
      <c r="B56" s="2">
        <v>45771</v>
      </c>
      <c r="C56" t="str">
        <f>TEXT(tblSales[[#This Row],[Date]],"mmmm")</f>
        <v>April</v>
      </c>
      <c r="D56" t="s">
        <v>23</v>
      </c>
      <c r="E56" t="str">
        <f>_xlfn.XLOOKUP(tblSales[[#This Row],[Saleperson]],Lookup_Tables!$B$5:$B$16,Lookup_Tables!$C$5:$C$16)</f>
        <v>West</v>
      </c>
      <c r="F56" t="s">
        <v>65</v>
      </c>
      <c r="G56" t="str">
        <f>_xlfn.XLOOKUP(tblSales[[#This Row],[Customer]],Lookup_Tables!$I$5:$I$34,Lookup_Tables!$J$5:$J$34)</f>
        <v>Retail</v>
      </c>
      <c r="H56" t="str">
        <f>_xlfn.XLOOKUP(tblSales[[#This Row],[Product]],Lookup_Tables!$F$5:$F$23,Lookup_Tables!$E$5:$E$23,"")</f>
        <v>Office Supplies</v>
      </c>
      <c r="I56" t="s">
        <v>51</v>
      </c>
      <c r="J56" s="11">
        <v>7</v>
      </c>
      <c r="K56" s="1">
        <f>_xlfn.XLOOKUP(tblSales[[#This Row],[Product]],Lookup_Tables!$F$5:$F$23,Lookup_Tables!$G$5:$G$23,"")</f>
        <v>90</v>
      </c>
      <c r="L56" s="12">
        <f>_xlfn.XLOOKUP(tblSales[[#This Row],[Customer Type]],Lookup_Tables!$B$19:$B$21,Lookup_Tables!$C$19:$C$21,0)</f>
        <v>0</v>
      </c>
      <c r="M56" t="s">
        <v>32</v>
      </c>
      <c r="N56" s="11" t="str">
        <f>"Q"&amp;ROUNDUP(MONTH(tblSales[[#This Row],[Date]])/3,0)</f>
        <v>Q2</v>
      </c>
      <c r="O56" s="11">
        <f>YEAR(tblSales[[#This Row],[Date]])</f>
        <v>2025</v>
      </c>
      <c r="P56" s="1">
        <f>tblSales[[#This Row],[Quantity]]*tblSales[[#This Row],[Unit Price]]</f>
        <v>630</v>
      </c>
      <c r="Q56" s="1">
        <f>tblSales[[#This Row],[Gross Sales]]*tblSales[[#This Row],[Discount%]]</f>
        <v>0</v>
      </c>
      <c r="R56" s="1">
        <f>tblSales[[#This Row],[Gross Sales]]-tblSales[[#This Row],[Discount Amount]]</f>
        <v>630</v>
      </c>
    </row>
    <row r="57" spans="1:18" x14ac:dyDescent="0.35">
      <c r="A57" t="str">
        <f t="shared" si="0"/>
        <v>ORD-2026-0056</v>
      </c>
      <c r="B57" s="2">
        <v>45773</v>
      </c>
      <c r="C57" t="str">
        <f>TEXT(tblSales[[#This Row],[Date]],"mmmm")</f>
        <v>April</v>
      </c>
      <c r="D57" t="s">
        <v>20</v>
      </c>
      <c r="E57" t="str">
        <f>_xlfn.XLOOKUP(tblSales[[#This Row],[Saleperson]],Lookup_Tables!$B$5:$B$16,Lookup_Tables!$C$5:$C$16)</f>
        <v>East</v>
      </c>
      <c r="F57" s="5" t="s">
        <v>69</v>
      </c>
      <c r="G57" t="str">
        <f>_xlfn.XLOOKUP(tblSales[[#This Row],[Customer]],Lookup_Tables!$I$5:$I$34,Lookup_Tables!$J$5:$J$34)</f>
        <v>Retail</v>
      </c>
      <c r="H57" t="str">
        <f>_xlfn.XLOOKUP(tblSales[[#This Row],[Product]],Lookup_Tables!$F$5:$F$23,Lookup_Tables!$E$5:$E$23,"")</f>
        <v>Electronics</v>
      </c>
      <c r="I57" t="s">
        <v>40</v>
      </c>
      <c r="J57" s="11">
        <v>4</v>
      </c>
      <c r="K57" s="1">
        <f>_xlfn.XLOOKUP(tblSales[[#This Row],[Product]],Lookup_Tables!$F$5:$F$23,Lookup_Tables!$G$5:$G$23,"")</f>
        <v>850</v>
      </c>
      <c r="L57" s="12">
        <f>_xlfn.XLOOKUP(tblSales[[#This Row],[Customer Type]],Lookup_Tables!$B$19:$B$21,Lookup_Tables!$C$19:$C$21,0)</f>
        <v>0</v>
      </c>
      <c r="M57" t="s">
        <v>35</v>
      </c>
      <c r="N57" s="11" t="str">
        <f>"Q"&amp;ROUNDUP(MONTH(tblSales[[#This Row],[Date]])/3,0)</f>
        <v>Q2</v>
      </c>
      <c r="O57" s="11">
        <f>YEAR(tblSales[[#This Row],[Date]])</f>
        <v>2025</v>
      </c>
      <c r="P57" s="1">
        <f>tblSales[[#This Row],[Quantity]]*tblSales[[#This Row],[Unit Price]]</f>
        <v>3400</v>
      </c>
      <c r="Q57" s="1">
        <f>tblSales[[#This Row],[Gross Sales]]*tblSales[[#This Row],[Discount%]]</f>
        <v>0</v>
      </c>
      <c r="R57" s="1">
        <f>tblSales[[#This Row],[Gross Sales]]-tblSales[[#This Row],[Discount Amount]]</f>
        <v>3400</v>
      </c>
    </row>
    <row r="58" spans="1:18" x14ac:dyDescent="0.35">
      <c r="A58" t="str">
        <f t="shared" si="0"/>
        <v>ORD-2026-0057</v>
      </c>
      <c r="B58" s="2">
        <v>45776</v>
      </c>
      <c r="C58" t="str">
        <f>TEXT(tblSales[[#This Row],[Date]],"mmmm")</f>
        <v>April</v>
      </c>
      <c r="D58" t="s">
        <v>21</v>
      </c>
      <c r="E58" t="str">
        <f>_xlfn.XLOOKUP(tblSales[[#This Row],[Saleperson]],Lookup_Tables!$B$5:$B$16,Lookup_Tables!$C$5:$C$16)</f>
        <v>South</v>
      </c>
      <c r="F58" s="5" t="s">
        <v>67</v>
      </c>
      <c r="G58" t="str">
        <f>_xlfn.XLOOKUP(tblSales[[#This Row],[Customer]],Lookup_Tables!$I$5:$I$34,Lookup_Tables!$J$5:$J$34)</f>
        <v>Government</v>
      </c>
      <c r="H58" t="str">
        <f>_xlfn.XLOOKUP(tblSales[[#This Row],[Product]],Lookup_Tables!$F$5:$F$23,Lookup_Tables!$E$5:$E$23,"")</f>
        <v>Furniture</v>
      </c>
      <c r="I58" t="s">
        <v>44</v>
      </c>
      <c r="J58" s="11">
        <v>8</v>
      </c>
      <c r="K58" s="1">
        <f>_xlfn.XLOOKUP(tblSales[[#This Row],[Product]],Lookup_Tables!$F$5:$F$23,Lookup_Tables!$G$5:$G$23,"")</f>
        <v>6900</v>
      </c>
      <c r="L58" s="12">
        <f>_xlfn.XLOOKUP(tblSales[[#This Row],[Customer Type]],Lookup_Tables!$B$19:$B$21,Lookup_Tables!$C$19:$C$21,0)</f>
        <v>0.15</v>
      </c>
      <c r="M58" t="s">
        <v>32</v>
      </c>
      <c r="N58" s="11" t="str">
        <f>"Q"&amp;ROUNDUP(MONTH(tblSales[[#This Row],[Date]])/3,0)</f>
        <v>Q2</v>
      </c>
      <c r="O58" s="11">
        <f>YEAR(tblSales[[#This Row],[Date]])</f>
        <v>2025</v>
      </c>
      <c r="P58" s="1">
        <f>tblSales[[#This Row],[Quantity]]*tblSales[[#This Row],[Unit Price]]</f>
        <v>55200</v>
      </c>
      <c r="Q58" s="1">
        <f>tblSales[[#This Row],[Gross Sales]]*tblSales[[#This Row],[Discount%]]</f>
        <v>8280</v>
      </c>
      <c r="R58" s="1">
        <f>tblSales[[#This Row],[Gross Sales]]-tblSales[[#This Row],[Discount Amount]]</f>
        <v>46920</v>
      </c>
    </row>
    <row r="59" spans="1:18" x14ac:dyDescent="0.35">
      <c r="A59" t="str">
        <f t="shared" si="0"/>
        <v>ORD-2026-0058</v>
      </c>
      <c r="B59" s="2">
        <v>45777</v>
      </c>
      <c r="C59" t="str">
        <f>TEXT(tblSales[[#This Row],[Date]],"mmmm")</f>
        <v>April</v>
      </c>
      <c r="D59" t="s">
        <v>25</v>
      </c>
      <c r="E59" t="str">
        <f>_xlfn.XLOOKUP(tblSales[[#This Row],[Saleperson]],Lookup_Tables!$B$5:$B$16,Lookup_Tables!$C$5:$C$16)</f>
        <v>West</v>
      </c>
      <c r="F59" s="5" t="s">
        <v>73</v>
      </c>
      <c r="G59" t="str">
        <f>_xlfn.XLOOKUP(tblSales[[#This Row],[Customer]],Lookup_Tables!$I$5:$I$34,Lookup_Tables!$J$5:$J$34)</f>
        <v>Retail</v>
      </c>
      <c r="H59" t="str">
        <f>_xlfn.XLOOKUP(tblSales[[#This Row],[Product]],Lookup_Tables!$F$5:$F$23,Lookup_Tables!$E$5:$E$23,"")</f>
        <v>Furniture</v>
      </c>
      <c r="I59" t="s">
        <v>44</v>
      </c>
      <c r="J59" s="11">
        <v>3</v>
      </c>
      <c r="K59" s="1">
        <f>_xlfn.XLOOKUP(tblSales[[#This Row],[Product]],Lookup_Tables!$F$5:$F$23,Lookup_Tables!$G$5:$G$23,"")</f>
        <v>6900</v>
      </c>
      <c r="L59" s="12">
        <f>_xlfn.XLOOKUP(tblSales[[#This Row],[Customer Type]],Lookup_Tables!$B$19:$B$21,Lookup_Tables!$C$19:$C$21,0)</f>
        <v>0</v>
      </c>
      <c r="M59" t="s">
        <v>33</v>
      </c>
      <c r="N59" s="11" t="str">
        <f>"Q"&amp;ROUNDUP(MONTH(tblSales[[#This Row],[Date]])/3,0)</f>
        <v>Q2</v>
      </c>
      <c r="O59" s="11">
        <f>YEAR(tblSales[[#This Row],[Date]])</f>
        <v>2025</v>
      </c>
      <c r="P59" s="1">
        <f>tblSales[[#This Row],[Quantity]]*tblSales[[#This Row],[Unit Price]]</f>
        <v>20700</v>
      </c>
      <c r="Q59" s="1">
        <f>tblSales[[#This Row],[Gross Sales]]*tblSales[[#This Row],[Discount%]]</f>
        <v>0</v>
      </c>
      <c r="R59" s="1">
        <f>tblSales[[#This Row],[Gross Sales]]-tblSales[[#This Row],[Discount Amount]]</f>
        <v>20700</v>
      </c>
    </row>
    <row r="60" spans="1:18" x14ac:dyDescent="0.35">
      <c r="A60" t="str">
        <f t="shared" si="0"/>
        <v>ORD-2026-0059</v>
      </c>
      <c r="B60" s="2">
        <v>45777</v>
      </c>
      <c r="C60" t="str">
        <f>TEXT(tblSales[[#This Row],[Date]],"mmmm")</f>
        <v>April</v>
      </c>
      <c r="D60" t="s">
        <v>19</v>
      </c>
      <c r="E60" t="str">
        <f>_xlfn.XLOOKUP(tblSales[[#This Row],[Saleperson]],Lookup_Tables!$B$5:$B$16,Lookup_Tables!$C$5:$C$16)</f>
        <v>West</v>
      </c>
      <c r="F60" t="s">
        <v>63</v>
      </c>
      <c r="G60" t="str">
        <f>_xlfn.XLOOKUP(tblSales[[#This Row],[Customer]],Lookup_Tables!$I$5:$I$34,Lookup_Tables!$J$5:$J$34)</f>
        <v>Retail</v>
      </c>
      <c r="H60" t="str">
        <f>_xlfn.XLOOKUP(tblSales[[#This Row],[Product]],Lookup_Tables!$F$5:$F$23,Lookup_Tables!$E$5:$E$23,"")</f>
        <v>Office Supplies</v>
      </c>
      <c r="I60" t="s">
        <v>56</v>
      </c>
      <c r="J60" s="11">
        <v>3</v>
      </c>
      <c r="K60" s="1">
        <f>_xlfn.XLOOKUP(tblSales[[#This Row],[Product]],Lookup_Tables!$F$5:$F$23,Lookup_Tables!$G$5:$G$23,"")</f>
        <v>190</v>
      </c>
      <c r="L60" s="12">
        <f>_xlfn.XLOOKUP(tblSales[[#This Row],[Customer Type]],Lookup_Tables!$B$19:$B$21,Lookup_Tables!$C$19:$C$21,0)</f>
        <v>0</v>
      </c>
      <c r="M60" t="s">
        <v>34</v>
      </c>
      <c r="N60" s="11" t="str">
        <f>"Q"&amp;ROUNDUP(MONTH(tblSales[[#This Row],[Date]])/3,0)</f>
        <v>Q2</v>
      </c>
      <c r="O60" s="11">
        <f>YEAR(tblSales[[#This Row],[Date]])</f>
        <v>2025</v>
      </c>
      <c r="P60" s="1">
        <f>tblSales[[#This Row],[Quantity]]*tblSales[[#This Row],[Unit Price]]</f>
        <v>570</v>
      </c>
      <c r="Q60" s="1">
        <f>tblSales[[#This Row],[Gross Sales]]*tblSales[[#This Row],[Discount%]]</f>
        <v>0</v>
      </c>
      <c r="R60" s="1">
        <f>tblSales[[#This Row],[Gross Sales]]-tblSales[[#This Row],[Discount Amount]]</f>
        <v>570</v>
      </c>
    </row>
    <row r="61" spans="1:18" x14ac:dyDescent="0.35">
      <c r="A61" t="str">
        <f t="shared" si="0"/>
        <v>ORD-2026-0060</v>
      </c>
      <c r="B61" s="2">
        <v>45777</v>
      </c>
      <c r="C61" t="str">
        <f>TEXT(tblSales[[#This Row],[Date]],"mmmm")</f>
        <v>April</v>
      </c>
      <c r="D61" t="s">
        <v>26</v>
      </c>
      <c r="E61" t="str">
        <f>_xlfn.XLOOKUP(tblSales[[#This Row],[Saleperson]],Lookup_Tables!$B$5:$B$16,Lookup_Tables!$C$5:$C$16)</f>
        <v>North</v>
      </c>
      <c r="F61" t="s">
        <v>65</v>
      </c>
      <c r="G61" t="str">
        <f>_xlfn.XLOOKUP(tblSales[[#This Row],[Customer]],Lookup_Tables!$I$5:$I$34,Lookup_Tables!$J$5:$J$34)</f>
        <v>Retail</v>
      </c>
      <c r="H61" t="str">
        <f>_xlfn.XLOOKUP(tblSales[[#This Row],[Product]],Lookup_Tables!$F$5:$F$23,Lookup_Tables!$E$5:$E$23,"")</f>
        <v>Furniture</v>
      </c>
      <c r="I61" t="s">
        <v>43</v>
      </c>
      <c r="J61" s="11">
        <v>1</v>
      </c>
      <c r="K61" s="1">
        <f>_xlfn.XLOOKUP(tblSales[[#This Row],[Product]],Lookup_Tables!$F$5:$F$23,Lookup_Tables!$G$5:$G$23,"")</f>
        <v>4200</v>
      </c>
      <c r="L61" s="12">
        <f>_xlfn.XLOOKUP(tblSales[[#This Row],[Customer Type]],Lookup_Tables!$B$19:$B$21,Lookup_Tables!$C$19:$C$21,0)</f>
        <v>0</v>
      </c>
      <c r="M61" t="s">
        <v>33</v>
      </c>
      <c r="N61" s="11" t="str">
        <f>"Q"&amp;ROUNDUP(MONTH(tblSales[[#This Row],[Date]])/3,0)</f>
        <v>Q2</v>
      </c>
      <c r="O61" s="11">
        <f>YEAR(tblSales[[#This Row],[Date]])</f>
        <v>2025</v>
      </c>
      <c r="P61" s="1">
        <f>tblSales[[#This Row],[Quantity]]*tblSales[[#This Row],[Unit Price]]</f>
        <v>4200</v>
      </c>
      <c r="Q61" s="1">
        <f>tblSales[[#This Row],[Gross Sales]]*tblSales[[#This Row],[Discount%]]</f>
        <v>0</v>
      </c>
      <c r="R61" s="1">
        <f>tblSales[[#This Row],[Gross Sales]]-tblSales[[#This Row],[Discount Amount]]</f>
        <v>4200</v>
      </c>
    </row>
    <row r="62" spans="1:18" x14ac:dyDescent="0.35">
      <c r="A62" t="str">
        <f t="shared" si="0"/>
        <v>ORD-2026-0061</v>
      </c>
      <c r="B62" s="2">
        <v>45778</v>
      </c>
      <c r="C62" t="str">
        <f>TEXT(tblSales[[#This Row],[Date]],"mmmm")</f>
        <v>May</v>
      </c>
      <c r="D62" t="s">
        <v>22</v>
      </c>
      <c r="E62" t="str">
        <f>_xlfn.XLOOKUP(tblSales[[#This Row],[Saleperson]],Lookup_Tables!$B$5:$B$16,Lookup_Tables!$C$5:$C$16)</f>
        <v>North</v>
      </c>
      <c r="F62" t="s">
        <v>65</v>
      </c>
      <c r="G62" t="str">
        <f>_xlfn.XLOOKUP(tblSales[[#This Row],[Customer]],Lookup_Tables!$I$5:$I$34,Lookup_Tables!$J$5:$J$34)</f>
        <v>Retail</v>
      </c>
      <c r="H62" t="str">
        <f>_xlfn.XLOOKUP(tblSales[[#This Row],[Product]],Lookup_Tables!$F$5:$F$23,Lookup_Tables!$E$5:$E$23,"")</f>
        <v>Electronics</v>
      </c>
      <c r="I62" t="s">
        <v>38</v>
      </c>
      <c r="J62" s="11">
        <v>10</v>
      </c>
      <c r="K62" s="1">
        <f>_xlfn.XLOOKUP(tblSales[[#This Row],[Product]],Lookup_Tables!$F$5:$F$23,Lookup_Tables!$G$5:$G$23,"")</f>
        <v>6000</v>
      </c>
      <c r="L62" s="6">
        <f>_xlfn.XLOOKUP(tblSales[[#This Row],[Customer Type]],Lookup_Tables!$B$19:$B$21,Lookup_Tables!$C$19:$C$21,0)</f>
        <v>0</v>
      </c>
      <c r="M62" t="s">
        <v>32</v>
      </c>
      <c r="N62" s="11" t="str">
        <f>"Q"&amp;ROUNDUP(MONTH(tblSales[[#This Row],[Date]])/3,0)</f>
        <v>Q2</v>
      </c>
      <c r="O62" s="11">
        <f>YEAR(tblSales[[#This Row],[Date]])</f>
        <v>2025</v>
      </c>
      <c r="P62" s="1">
        <f>tblSales[[#This Row],[Quantity]]*tblSales[[#This Row],[Unit Price]]</f>
        <v>60000</v>
      </c>
      <c r="Q62" s="1">
        <f>tblSales[[#This Row],[Gross Sales]]*tblSales[[#This Row],[Discount%]]</f>
        <v>0</v>
      </c>
      <c r="R62" s="1">
        <f>tblSales[[#This Row],[Gross Sales]]-tblSales[[#This Row],[Discount Amount]]</f>
        <v>60000</v>
      </c>
    </row>
    <row r="63" spans="1:18" x14ac:dyDescent="0.35">
      <c r="A63" t="str">
        <f t="shared" si="0"/>
        <v>ORD-2026-0062</v>
      </c>
      <c r="B63" s="2">
        <v>45778</v>
      </c>
      <c r="C63" t="str">
        <f>TEXT(tblSales[[#This Row],[Date]],"mmmm")</f>
        <v>May</v>
      </c>
      <c r="D63" t="s">
        <v>17</v>
      </c>
      <c r="E63" t="str">
        <f>_xlfn.XLOOKUP(tblSales[[#This Row],[Saleperson]],Lookup_Tables!$B$5:$B$16,Lookup_Tables!$C$5:$C$16)</f>
        <v>North</v>
      </c>
      <c r="F63" t="s">
        <v>63</v>
      </c>
      <c r="G63" t="str">
        <f>_xlfn.XLOOKUP(tblSales[[#This Row],[Customer]],Lookup_Tables!$I$5:$I$34,Lookup_Tables!$J$5:$J$34)</f>
        <v>Retail</v>
      </c>
      <c r="H63" t="str">
        <f>_xlfn.XLOOKUP(tblSales[[#This Row],[Product]],Lookup_Tables!$F$5:$F$23,Lookup_Tables!$E$5:$E$23,"")</f>
        <v>Office Supplies</v>
      </c>
      <c r="I63" t="s">
        <v>57</v>
      </c>
      <c r="J63" s="11">
        <v>1</v>
      </c>
      <c r="K63" s="1">
        <f>_xlfn.XLOOKUP(tblSales[[#This Row],[Product]],Lookup_Tables!$F$5:$F$23,Lookup_Tables!$G$5:$G$23,"")</f>
        <v>5000</v>
      </c>
      <c r="L63" s="12">
        <f>_xlfn.XLOOKUP(tblSales[[#This Row],[Customer Type]],Lookup_Tables!$B$19:$B$21,Lookup_Tables!$C$19:$C$21,0)</f>
        <v>0</v>
      </c>
      <c r="M63" t="s">
        <v>35</v>
      </c>
      <c r="N63" s="11" t="str">
        <f>"Q"&amp;ROUNDUP(MONTH(tblSales[[#This Row],[Date]])/3,0)</f>
        <v>Q2</v>
      </c>
      <c r="O63" s="11">
        <f>YEAR(tblSales[[#This Row],[Date]])</f>
        <v>2025</v>
      </c>
      <c r="P63" s="1">
        <f>tblSales[[#This Row],[Quantity]]*tblSales[[#This Row],[Unit Price]]</f>
        <v>5000</v>
      </c>
      <c r="Q63" s="1">
        <f>tblSales[[#This Row],[Gross Sales]]*tblSales[[#This Row],[Discount%]]</f>
        <v>0</v>
      </c>
      <c r="R63" s="1">
        <f>tblSales[[#This Row],[Gross Sales]]-tblSales[[#This Row],[Discount Amount]]</f>
        <v>5000</v>
      </c>
    </row>
    <row r="64" spans="1:18" x14ac:dyDescent="0.35">
      <c r="A64" t="str">
        <f t="shared" si="0"/>
        <v>ORD-2026-0063</v>
      </c>
      <c r="B64" s="2">
        <v>45779</v>
      </c>
      <c r="C64" t="str">
        <f>TEXT(tblSales[[#This Row],[Date]],"mmmm")</f>
        <v>May</v>
      </c>
      <c r="D64" t="s">
        <v>27</v>
      </c>
      <c r="E64" t="str">
        <f>_xlfn.XLOOKUP(tblSales[[#This Row],[Saleperson]],Lookup_Tables!$B$5:$B$16,Lookup_Tables!$C$5:$C$16)</f>
        <v>East</v>
      </c>
      <c r="F64" s="5" t="s">
        <v>88</v>
      </c>
      <c r="G64" t="str">
        <f>_xlfn.XLOOKUP(tblSales[[#This Row],[Customer]],Lookup_Tables!$I$5:$I$34,Lookup_Tables!$J$5:$J$34)</f>
        <v>Corporate</v>
      </c>
      <c r="H64" t="str">
        <f>_xlfn.XLOOKUP(tblSales[[#This Row],[Product]],Lookup_Tables!$F$5:$F$23,Lookup_Tables!$E$5:$E$23,"")</f>
        <v>Furniture</v>
      </c>
      <c r="I64" t="s">
        <v>43</v>
      </c>
      <c r="J64" s="11">
        <v>1</v>
      </c>
      <c r="K64" s="1">
        <f>_xlfn.XLOOKUP(tblSales[[#This Row],[Product]],Lookup_Tables!$F$5:$F$23,Lookup_Tables!$G$5:$G$23,"")</f>
        <v>4200</v>
      </c>
      <c r="L64" s="12">
        <f>_xlfn.XLOOKUP(tblSales[[#This Row],[Customer Type]],Lookup_Tables!$B$19:$B$21,Lookup_Tables!$C$19:$C$21,0)</f>
        <v>0.1</v>
      </c>
      <c r="M64" t="s">
        <v>35</v>
      </c>
      <c r="N64" s="11" t="str">
        <f>"Q"&amp;ROUNDUP(MONTH(tblSales[[#This Row],[Date]])/3,0)</f>
        <v>Q2</v>
      </c>
      <c r="O64" s="11">
        <f>YEAR(tblSales[[#This Row],[Date]])</f>
        <v>2025</v>
      </c>
      <c r="P64" s="1">
        <f>tblSales[[#This Row],[Quantity]]*tblSales[[#This Row],[Unit Price]]</f>
        <v>4200</v>
      </c>
      <c r="Q64" s="1">
        <f>tblSales[[#This Row],[Gross Sales]]*tblSales[[#This Row],[Discount%]]</f>
        <v>420</v>
      </c>
      <c r="R64" s="1">
        <f>tblSales[[#This Row],[Gross Sales]]-tblSales[[#This Row],[Discount Amount]]</f>
        <v>3780</v>
      </c>
    </row>
    <row r="65" spans="1:18" x14ac:dyDescent="0.35">
      <c r="A65" t="str">
        <f t="shared" si="0"/>
        <v>ORD-2026-0064</v>
      </c>
      <c r="B65" s="2">
        <v>45779</v>
      </c>
      <c r="C65" t="str">
        <f>TEXT(tblSales[[#This Row],[Date]],"mmmm")</f>
        <v>May</v>
      </c>
      <c r="D65" t="s">
        <v>24</v>
      </c>
      <c r="E65" t="str">
        <f>_xlfn.XLOOKUP(tblSales[[#This Row],[Saleperson]],Lookup_Tables!$B$5:$B$16,Lookup_Tables!$C$5:$C$16)</f>
        <v>South</v>
      </c>
      <c r="F65" s="5" t="s">
        <v>71</v>
      </c>
      <c r="G65" t="str">
        <f>_xlfn.XLOOKUP(tblSales[[#This Row],[Customer]],Lookup_Tables!$I$5:$I$34,Lookup_Tables!$J$5:$J$34)</f>
        <v>Government</v>
      </c>
      <c r="H65" t="str">
        <f>_xlfn.XLOOKUP(tblSales[[#This Row],[Product]],Lookup_Tables!$F$5:$F$23,Lookup_Tables!$E$5:$E$23,"")</f>
        <v>Electronics</v>
      </c>
      <c r="I65" t="s">
        <v>40</v>
      </c>
      <c r="J65" s="11">
        <v>2</v>
      </c>
      <c r="K65" s="1">
        <f>_xlfn.XLOOKUP(tblSales[[#This Row],[Product]],Lookup_Tables!$F$5:$F$23,Lookup_Tables!$G$5:$G$23,"")</f>
        <v>850</v>
      </c>
      <c r="L65" s="12">
        <f>_xlfn.XLOOKUP(tblSales[[#This Row],[Customer Type]],Lookup_Tables!$B$19:$B$21,Lookup_Tables!$C$19:$C$21,0)</f>
        <v>0.15</v>
      </c>
      <c r="M65" t="s">
        <v>32</v>
      </c>
      <c r="N65" s="11" t="str">
        <f>"Q"&amp;ROUNDUP(MONTH(tblSales[[#This Row],[Date]])/3,0)</f>
        <v>Q2</v>
      </c>
      <c r="O65" s="11">
        <f>YEAR(tblSales[[#This Row],[Date]])</f>
        <v>2025</v>
      </c>
      <c r="P65" s="1">
        <f>tblSales[[#This Row],[Quantity]]*tblSales[[#This Row],[Unit Price]]</f>
        <v>1700</v>
      </c>
      <c r="Q65" s="1">
        <f>tblSales[[#This Row],[Gross Sales]]*tblSales[[#This Row],[Discount%]]</f>
        <v>255</v>
      </c>
      <c r="R65" s="1">
        <f>tblSales[[#This Row],[Gross Sales]]-tblSales[[#This Row],[Discount Amount]]</f>
        <v>1445</v>
      </c>
    </row>
    <row r="66" spans="1:18" x14ac:dyDescent="0.35">
      <c r="A66" t="str">
        <f t="shared" ref="A66:A129" si="1">"ORD-2026-"&amp;TEXT(ROW()-1,"0000")</f>
        <v>ORD-2026-0065</v>
      </c>
      <c r="B66" s="2">
        <v>45781</v>
      </c>
      <c r="C66" t="str">
        <f>TEXT(tblSales[[#This Row],[Date]],"mmmm")</f>
        <v>May</v>
      </c>
      <c r="D66" t="s">
        <v>20</v>
      </c>
      <c r="E66" t="str">
        <f>_xlfn.XLOOKUP(tblSales[[#This Row],[Saleperson]],Lookup_Tables!$B$5:$B$16,Lookup_Tables!$C$5:$C$16)</f>
        <v>East</v>
      </c>
      <c r="F66" s="5" t="s">
        <v>67</v>
      </c>
      <c r="G66" t="str">
        <f>_xlfn.XLOOKUP(tblSales[[#This Row],[Customer]],Lookup_Tables!$I$5:$I$34,Lookup_Tables!$J$5:$J$34)</f>
        <v>Government</v>
      </c>
      <c r="H66" t="str">
        <f>_xlfn.XLOOKUP(tblSales[[#This Row],[Product]],Lookup_Tables!$F$5:$F$23,Lookup_Tables!$E$5:$E$23,"")</f>
        <v>Office Supplies</v>
      </c>
      <c r="I66" t="s">
        <v>51</v>
      </c>
      <c r="J66" s="11">
        <v>6</v>
      </c>
      <c r="K66" s="1">
        <f>_xlfn.XLOOKUP(tblSales[[#This Row],[Product]],Lookup_Tables!$F$5:$F$23,Lookup_Tables!$G$5:$G$23,"")</f>
        <v>90</v>
      </c>
      <c r="L66" s="12">
        <f>_xlfn.XLOOKUP(tblSales[[#This Row],[Customer Type]],Lookup_Tables!$B$19:$B$21,Lookup_Tables!$C$19:$C$21,0)</f>
        <v>0.15</v>
      </c>
      <c r="M66" t="s">
        <v>32</v>
      </c>
      <c r="N66" s="11" t="str">
        <f>"Q"&amp;ROUNDUP(MONTH(tblSales[[#This Row],[Date]])/3,0)</f>
        <v>Q2</v>
      </c>
      <c r="O66" s="11">
        <f>YEAR(tblSales[[#This Row],[Date]])</f>
        <v>2025</v>
      </c>
      <c r="P66" s="1">
        <f>tblSales[[#This Row],[Quantity]]*tblSales[[#This Row],[Unit Price]]</f>
        <v>540</v>
      </c>
      <c r="Q66" s="1">
        <f>tblSales[[#This Row],[Gross Sales]]*tblSales[[#This Row],[Discount%]]</f>
        <v>81</v>
      </c>
      <c r="R66" s="1">
        <f>tblSales[[#This Row],[Gross Sales]]-tblSales[[#This Row],[Discount Amount]]</f>
        <v>459</v>
      </c>
    </row>
    <row r="67" spans="1:18" x14ac:dyDescent="0.35">
      <c r="A67" t="str">
        <f t="shared" si="1"/>
        <v>ORD-2026-0066</v>
      </c>
      <c r="B67" s="2">
        <v>45781</v>
      </c>
      <c r="C67" t="str">
        <f>TEXT(tblSales[[#This Row],[Date]],"mmmm")</f>
        <v>May</v>
      </c>
      <c r="D67" t="s">
        <v>22</v>
      </c>
      <c r="E67" t="str">
        <f>_xlfn.XLOOKUP(tblSales[[#This Row],[Saleperson]],Lookup_Tables!$B$5:$B$16,Lookup_Tables!$C$5:$C$16)</f>
        <v>North</v>
      </c>
      <c r="F67" t="s">
        <v>65</v>
      </c>
      <c r="G67" t="str">
        <f>_xlfn.XLOOKUP(tblSales[[#This Row],[Customer]],Lookup_Tables!$I$5:$I$34,Lookup_Tables!$J$5:$J$34)</f>
        <v>Retail</v>
      </c>
      <c r="H67" t="str">
        <f>_xlfn.XLOOKUP(tblSales[[#This Row],[Product]],Lookup_Tables!$F$5:$F$23,Lookup_Tables!$E$5:$E$23,"")</f>
        <v>Furniture</v>
      </c>
      <c r="I67" t="s">
        <v>45</v>
      </c>
      <c r="J67" s="11">
        <v>2</v>
      </c>
      <c r="K67" s="1">
        <f>_xlfn.XLOOKUP(tblSales[[#This Row],[Product]],Lookup_Tables!$F$5:$F$23,Lookup_Tables!$G$5:$G$23,"")</f>
        <v>5200</v>
      </c>
      <c r="L67" s="12">
        <f>_xlfn.XLOOKUP(tblSales[[#This Row],[Customer Type]],Lookup_Tables!$B$19:$B$21,Lookup_Tables!$C$19:$C$21,0)</f>
        <v>0</v>
      </c>
      <c r="M67" t="s">
        <v>34</v>
      </c>
      <c r="N67" s="11" t="str">
        <f>"Q"&amp;ROUNDUP(MONTH(tblSales[[#This Row],[Date]])/3,0)</f>
        <v>Q2</v>
      </c>
      <c r="O67" s="11">
        <f>YEAR(tblSales[[#This Row],[Date]])</f>
        <v>2025</v>
      </c>
      <c r="P67" s="1">
        <f>tblSales[[#This Row],[Quantity]]*tblSales[[#This Row],[Unit Price]]</f>
        <v>10400</v>
      </c>
      <c r="Q67" s="1">
        <f>tblSales[[#This Row],[Gross Sales]]*tblSales[[#This Row],[Discount%]]</f>
        <v>0</v>
      </c>
      <c r="R67" s="1">
        <f>tblSales[[#This Row],[Gross Sales]]-tblSales[[#This Row],[Discount Amount]]</f>
        <v>10400</v>
      </c>
    </row>
    <row r="68" spans="1:18" x14ac:dyDescent="0.35">
      <c r="A68" t="str">
        <f t="shared" si="1"/>
        <v>ORD-2026-0067</v>
      </c>
      <c r="B68" s="2">
        <v>45782</v>
      </c>
      <c r="C68" t="str">
        <f>TEXT(tblSales[[#This Row],[Date]],"mmmm")</f>
        <v>May</v>
      </c>
      <c r="D68" t="s">
        <v>21</v>
      </c>
      <c r="E68" t="str">
        <f>_xlfn.XLOOKUP(tblSales[[#This Row],[Saleperson]],Lookup_Tables!$B$5:$B$16,Lookup_Tables!$C$5:$C$16)</f>
        <v>South</v>
      </c>
      <c r="F68" s="5" t="s">
        <v>70</v>
      </c>
      <c r="G68" t="str">
        <f>_xlfn.XLOOKUP(tblSales[[#This Row],[Customer]],Lookup_Tables!$I$5:$I$34,Lookup_Tables!$J$5:$J$34)</f>
        <v>Retail</v>
      </c>
      <c r="H68" t="str">
        <f>_xlfn.XLOOKUP(tblSales[[#This Row],[Product]],Lookup_Tables!$F$5:$F$23,Lookup_Tables!$E$5:$E$23,"")</f>
        <v>Furniture</v>
      </c>
      <c r="I68" t="s">
        <v>45</v>
      </c>
      <c r="J68" s="11">
        <v>6</v>
      </c>
      <c r="K68" s="1">
        <f>_xlfn.XLOOKUP(tblSales[[#This Row],[Product]],Lookup_Tables!$F$5:$F$23,Lookup_Tables!$G$5:$G$23,"")</f>
        <v>5200</v>
      </c>
      <c r="L68" s="12">
        <f>_xlfn.XLOOKUP(tblSales[[#This Row],[Customer Type]],Lookup_Tables!$B$19:$B$21,Lookup_Tables!$C$19:$C$21,0)</f>
        <v>0</v>
      </c>
      <c r="M68" t="s">
        <v>35</v>
      </c>
      <c r="N68" s="11" t="str">
        <f>"Q"&amp;ROUNDUP(MONTH(tblSales[[#This Row],[Date]])/3,0)</f>
        <v>Q2</v>
      </c>
      <c r="O68" s="11">
        <f>YEAR(tblSales[[#This Row],[Date]])</f>
        <v>2025</v>
      </c>
      <c r="P68" s="1">
        <f>tblSales[[#This Row],[Quantity]]*tblSales[[#This Row],[Unit Price]]</f>
        <v>31200</v>
      </c>
      <c r="Q68" s="1">
        <f>tblSales[[#This Row],[Gross Sales]]*tblSales[[#This Row],[Discount%]]</f>
        <v>0</v>
      </c>
      <c r="R68" s="1">
        <f>tblSales[[#This Row],[Gross Sales]]-tblSales[[#This Row],[Discount Amount]]</f>
        <v>31200</v>
      </c>
    </row>
    <row r="69" spans="1:18" x14ac:dyDescent="0.35">
      <c r="A69" t="str">
        <f t="shared" si="1"/>
        <v>ORD-2026-0068</v>
      </c>
      <c r="B69" s="2">
        <v>45784</v>
      </c>
      <c r="C69" t="str">
        <f>TEXT(tblSales[[#This Row],[Date]],"mmmm")</f>
        <v>May</v>
      </c>
      <c r="D69" t="s">
        <v>18</v>
      </c>
      <c r="E69" t="str">
        <f>_xlfn.XLOOKUP(tblSales[[#This Row],[Saleperson]],Lookup_Tables!$B$5:$B$16,Lookup_Tables!$C$5:$C$16)</f>
        <v>South</v>
      </c>
      <c r="F69" s="5" t="s">
        <v>74</v>
      </c>
      <c r="G69" t="str">
        <f>_xlfn.XLOOKUP(tblSales[[#This Row],[Customer]],Lookup_Tables!$I$5:$I$34,Lookup_Tables!$J$5:$J$34)</f>
        <v>Retail</v>
      </c>
      <c r="H69" t="str">
        <f>_xlfn.XLOOKUP(tblSales[[#This Row],[Product]],Lookup_Tables!$F$5:$F$23,Lookup_Tables!$E$5:$E$23,"")</f>
        <v>Electronics</v>
      </c>
      <c r="I69" t="s">
        <v>38</v>
      </c>
      <c r="J69" s="11">
        <v>1</v>
      </c>
      <c r="K69" s="1">
        <f>_xlfn.XLOOKUP(tblSales[[#This Row],[Product]],Lookup_Tables!$F$5:$F$23,Lookup_Tables!$G$5:$G$23,"")</f>
        <v>6000</v>
      </c>
      <c r="L69" s="12">
        <f>_xlfn.XLOOKUP(tblSales[[#This Row],[Customer Type]],Lookup_Tables!$B$19:$B$21,Lookup_Tables!$C$19:$C$21,0)</f>
        <v>0</v>
      </c>
      <c r="M69" t="s">
        <v>34</v>
      </c>
      <c r="N69" s="11" t="str">
        <f>"Q"&amp;ROUNDUP(MONTH(tblSales[[#This Row],[Date]])/3,0)</f>
        <v>Q2</v>
      </c>
      <c r="O69" s="11">
        <f>YEAR(tblSales[[#This Row],[Date]])</f>
        <v>2025</v>
      </c>
      <c r="P69" s="1">
        <f>tblSales[[#This Row],[Quantity]]*tblSales[[#This Row],[Unit Price]]</f>
        <v>6000</v>
      </c>
      <c r="Q69" s="1">
        <f>tblSales[[#This Row],[Gross Sales]]*tblSales[[#This Row],[Discount%]]</f>
        <v>0</v>
      </c>
      <c r="R69" s="1">
        <f>tblSales[[#This Row],[Gross Sales]]-tblSales[[#This Row],[Discount Amount]]</f>
        <v>6000</v>
      </c>
    </row>
    <row r="70" spans="1:18" x14ac:dyDescent="0.35">
      <c r="A70" t="str">
        <f t="shared" si="1"/>
        <v>ORD-2026-0069</v>
      </c>
      <c r="B70" s="2">
        <v>45786</v>
      </c>
      <c r="C70" t="str">
        <f>TEXT(tblSales[[#This Row],[Date]],"mmmm")</f>
        <v>May</v>
      </c>
      <c r="D70" t="s">
        <v>19</v>
      </c>
      <c r="E70" t="str">
        <f>_xlfn.XLOOKUP(tblSales[[#This Row],[Saleperson]],Lookup_Tables!$B$5:$B$16,Lookup_Tables!$C$5:$C$16)</f>
        <v>West</v>
      </c>
      <c r="F70" t="s">
        <v>63</v>
      </c>
      <c r="G70" t="str">
        <f>_xlfn.XLOOKUP(tblSales[[#This Row],[Customer]],Lookup_Tables!$I$5:$I$34,Lookup_Tables!$J$5:$J$34)</f>
        <v>Retail</v>
      </c>
      <c r="H70" t="str">
        <f>_xlfn.XLOOKUP(tblSales[[#This Row],[Product]],Lookup_Tables!$F$5:$F$23,Lookup_Tables!$E$5:$E$23,"")</f>
        <v>Furniture</v>
      </c>
      <c r="I70" t="s">
        <v>44</v>
      </c>
      <c r="J70" s="11">
        <v>3</v>
      </c>
      <c r="K70" s="1">
        <f>_xlfn.XLOOKUP(tblSales[[#This Row],[Product]],Lookup_Tables!$F$5:$F$23,Lookup_Tables!$G$5:$G$23,"")</f>
        <v>6900</v>
      </c>
      <c r="L70" s="12">
        <f>_xlfn.XLOOKUP(tblSales[[#This Row],[Customer Type]],Lookup_Tables!$B$19:$B$21,Lookup_Tables!$C$19:$C$21,0)</f>
        <v>0</v>
      </c>
      <c r="M70" t="s">
        <v>34</v>
      </c>
      <c r="N70" s="11" t="str">
        <f>"Q"&amp;ROUNDUP(MONTH(tblSales[[#This Row],[Date]])/3,0)</f>
        <v>Q2</v>
      </c>
      <c r="O70" s="11">
        <f>YEAR(tblSales[[#This Row],[Date]])</f>
        <v>2025</v>
      </c>
      <c r="P70" s="1">
        <f>tblSales[[#This Row],[Quantity]]*tblSales[[#This Row],[Unit Price]]</f>
        <v>20700</v>
      </c>
      <c r="Q70" s="1">
        <f>tblSales[[#This Row],[Gross Sales]]*tblSales[[#This Row],[Discount%]]</f>
        <v>0</v>
      </c>
      <c r="R70" s="1">
        <f>tblSales[[#This Row],[Gross Sales]]-tblSales[[#This Row],[Discount Amount]]</f>
        <v>20700</v>
      </c>
    </row>
    <row r="71" spans="1:18" x14ac:dyDescent="0.35">
      <c r="A71" t="str">
        <f t="shared" si="1"/>
        <v>ORD-2026-0070</v>
      </c>
      <c r="B71" s="2">
        <v>45787</v>
      </c>
      <c r="C71" t="str">
        <f>TEXT(tblSales[[#This Row],[Date]],"mmmm")</f>
        <v>May</v>
      </c>
      <c r="D71" t="s">
        <v>23</v>
      </c>
      <c r="E71" t="str">
        <f>_xlfn.XLOOKUP(tblSales[[#This Row],[Saleperson]],Lookup_Tables!$B$5:$B$16,Lookup_Tables!$C$5:$C$16)</f>
        <v>West</v>
      </c>
      <c r="F71" s="5" t="s">
        <v>77</v>
      </c>
      <c r="G71" t="str">
        <f>_xlfn.XLOOKUP(tblSales[[#This Row],[Customer]],Lookup_Tables!$I$5:$I$34,Lookup_Tables!$J$5:$J$34)</f>
        <v>Retail</v>
      </c>
      <c r="H71" t="str">
        <f>_xlfn.XLOOKUP(tblSales[[#This Row],[Product]],Lookup_Tables!$F$5:$F$23,Lookup_Tables!$E$5:$E$23,"")</f>
        <v>Furniture</v>
      </c>
      <c r="I71" t="s">
        <v>46</v>
      </c>
      <c r="J71" s="11">
        <v>5</v>
      </c>
      <c r="K71" s="1">
        <f>_xlfn.XLOOKUP(tblSales[[#This Row],[Product]],Lookup_Tables!$F$5:$F$23,Lookup_Tables!$G$5:$G$23,"")</f>
        <v>3100</v>
      </c>
      <c r="L71" s="12">
        <f>_xlfn.XLOOKUP(tblSales[[#This Row],[Customer Type]],Lookup_Tables!$B$19:$B$21,Lookup_Tables!$C$19:$C$21,0)</f>
        <v>0</v>
      </c>
      <c r="M71" t="s">
        <v>32</v>
      </c>
      <c r="N71" s="11" t="str">
        <f>"Q"&amp;ROUNDUP(MONTH(tblSales[[#This Row],[Date]])/3,0)</f>
        <v>Q2</v>
      </c>
      <c r="O71" s="11">
        <f>YEAR(tblSales[[#This Row],[Date]])</f>
        <v>2025</v>
      </c>
      <c r="P71" s="1">
        <f>tblSales[[#This Row],[Quantity]]*tblSales[[#This Row],[Unit Price]]</f>
        <v>15500</v>
      </c>
      <c r="Q71" s="1">
        <f>tblSales[[#This Row],[Gross Sales]]*tblSales[[#This Row],[Discount%]]</f>
        <v>0</v>
      </c>
      <c r="R71" s="1">
        <f>tblSales[[#This Row],[Gross Sales]]-tblSales[[#This Row],[Discount Amount]]</f>
        <v>15500</v>
      </c>
    </row>
    <row r="72" spans="1:18" x14ac:dyDescent="0.35">
      <c r="A72" t="str">
        <f t="shared" si="1"/>
        <v>ORD-2026-0071</v>
      </c>
      <c r="B72" s="2">
        <v>45788</v>
      </c>
      <c r="C72" t="str">
        <f>TEXT(tblSales[[#This Row],[Date]],"mmmm")</f>
        <v>May</v>
      </c>
      <c r="D72" t="s">
        <v>24</v>
      </c>
      <c r="E72" t="str">
        <f>_xlfn.XLOOKUP(tblSales[[#This Row],[Saleperson]],Lookup_Tables!$B$5:$B$16,Lookup_Tables!$C$5:$C$16)</f>
        <v>South</v>
      </c>
      <c r="F72" s="5" t="s">
        <v>69</v>
      </c>
      <c r="G72" t="str">
        <f>_xlfn.XLOOKUP(tblSales[[#This Row],[Customer]],Lookup_Tables!$I$5:$I$34,Lookup_Tables!$J$5:$J$34)</f>
        <v>Retail</v>
      </c>
      <c r="H72" t="str">
        <f>_xlfn.XLOOKUP(tblSales[[#This Row],[Product]],Lookup_Tables!$F$5:$F$23,Lookup_Tables!$E$5:$E$23,"")</f>
        <v>Electronics</v>
      </c>
      <c r="I72" t="s">
        <v>41</v>
      </c>
      <c r="J72" s="11">
        <v>9</v>
      </c>
      <c r="K72" s="1">
        <f>_xlfn.XLOOKUP(tblSales[[#This Row],[Product]],Lookup_Tables!$F$5:$F$23,Lookup_Tables!$G$5:$G$23,"")</f>
        <v>720</v>
      </c>
      <c r="L72" s="12">
        <f>_xlfn.XLOOKUP(tblSales[[#This Row],[Customer Type]],Lookup_Tables!$B$19:$B$21,Lookup_Tables!$C$19:$C$21,0)</f>
        <v>0</v>
      </c>
      <c r="M72" t="s">
        <v>35</v>
      </c>
      <c r="N72" s="11" t="str">
        <f>"Q"&amp;ROUNDUP(MONTH(tblSales[[#This Row],[Date]])/3,0)</f>
        <v>Q2</v>
      </c>
      <c r="O72" s="11">
        <f>YEAR(tblSales[[#This Row],[Date]])</f>
        <v>2025</v>
      </c>
      <c r="P72" s="1">
        <f>tblSales[[#This Row],[Quantity]]*tblSales[[#This Row],[Unit Price]]</f>
        <v>6480</v>
      </c>
      <c r="Q72" s="1">
        <f>tblSales[[#This Row],[Gross Sales]]*tblSales[[#This Row],[Discount%]]</f>
        <v>0</v>
      </c>
      <c r="R72" s="1">
        <f>tblSales[[#This Row],[Gross Sales]]-tblSales[[#This Row],[Discount Amount]]</f>
        <v>6480</v>
      </c>
    </row>
    <row r="73" spans="1:18" x14ac:dyDescent="0.35">
      <c r="A73" t="str">
        <f t="shared" si="1"/>
        <v>ORD-2026-0072</v>
      </c>
      <c r="B73" s="2">
        <v>45788</v>
      </c>
      <c r="C73" t="str">
        <f>TEXT(tblSales[[#This Row],[Date]],"mmmm")</f>
        <v>May</v>
      </c>
      <c r="D73" t="s">
        <v>25</v>
      </c>
      <c r="E73" t="str">
        <f>_xlfn.XLOOKUP(tblSales[[#This Row],[Saleperson]],Lookup_Tables!$B$5:$B$16,Lookup_Tables!$C$5:$C$16)</f>
        <v>West</v>
      </c>
      <c r="F73" t="s">
        <v>63</v>
      </c>
      <c r="G73" t="str">
        <f>_xlfn.XLOOKUP(tblSales[[#This Row],[Customer]],Lookup_Tables!$I$5:$I$34,Lookup_Tables!$J$5:$J$34)</f>
        <v>Retail</v>
      </c>
      <c r="H73" t="str">
        <f>_xlfn.XLOOKUP(tblSales[[#This Row],[Product]],Lookup_Tables!$F$5:$F$23,Lookup_Tables!$E$5:$E$23,"")</f>
        <v>Furniture</v>
      </c>
      <c r="I73" t="s">
        <v>47</v>
      </c>
      <c r="J73" s="11">
        <v>10</v>
      </c>
      <c r="K73" s="1">
        <f>_xlfn.XLOOKUP(tblSales[[#This Row],[Product]],Lookup_Tables!$F$5:$F$23,Lookup_Tables!$G$5:$G$23,"")</f>
        <v>7500</v>
      </c>
      <c r="L73" s="12">
        <f>_xlfn.XLOOKUP(tblSales[[#This Row],[Customer Type]],Lookup_Tables!$B$19:$B$21,Lookup_Tables!$C$19:$C$21,0)</f>
        <v>0</v>
      </c>
      <c r="M73" t="s">
        <v>34</v>
      </c>
      <c r="N73" s="11" t="str">
        <f>"Q"&amp;ROUNDUP(MONTH(tblSales[[#This Row],[Date]])/3,0)</f>
        <v>Q2</v>
      </c>
      <c r="O73" s="11">
        <f>YEAR(tblSales[[#This Row],[Date]])</f>
        <v>2025</v>
      </c>
      <c r="P73" s="1">
        <f>tblSales[[#This Row],[Quantity]]*tblSales[[#This Row],[Unit Price]]</f>
        <v>75000</v>
      </c>
      <c r="Q73" s="1">
        <f>tblSales[[#This Row],[Gross Sales]]*tblSales[[#This Row],[Discount%]]</f>
        <v>0</v>
      </c>
      <c r="R73" s="1">
        <f>tblSales[[#This Row],[Gross Sales]]-tblSales[[#This Row],[Discount Amount]]</f>
        <v>75000</v>
      </c>
    </row>
    <row r="74" spans="1:18" x14ac:dyDescent="0.35">
      <c r="A74" t="str">
        <f t="shared" si="1"/>
        <v>ORD-2026-0073</v>
      </c>
      <c r="B74" s="2">
        <v>45788</v>
      </c>
      <c r="C74" t="str">
        <f>TEXT(tblSales[[#This Row],[Date]],"mmmm")</f>
        <v>May</v>
      </c>
      <c r="D74" t="s">
        <v>26</v>
      </c>
      <c r="E74" t="str">
        <f>_xlfn.XLOOKUP(tblSales[[#This Row],[Saleperson]],Lookup_Tables!$B$5:$B$16,Lookup_Tables!$C$5:$C$16)</f>
        <v>North</v>
      </c>
      <c r="F74" t="s">
        <v>91</v>
      </c>
      <c r="G74" t="str">
        <f>_xlfn.XLOOKUP(tblSales[[#This Row],[Customer]],Lookup_Tables!$I$5:$I$34,Lookup_Tables!$J$5:$J$34)</f>
        <v>Corporate</v>
      </c>
      <c r="H74" t="str">
        <f>_xlfn.XLOOKUP(tblSales[[#This Row],[Product]],Lookup_Tables!$F$5:$F$23,Lookup_Tables!$E$5:$E$23,"")</f>
        <v>Electronics</v>
      </c>
      <c r="I74" t="s">
        <v>41</v>
      </c>
      <c r="J74" s="11">
        <v>9</v>
      </c>
      <c r="K74" s="1">
        <f>_xlfn.XLOOKUP(tblSales[[#This Row],[Product]],Lookup_Tables!$F$5:$F$23,Lookup_Tables!$G$5:$G$23,"")</f>
        <v>720</v>
      </c>
      <c r="L74" s="12">
        <f>_xlfn.XLOOKUP(tblSales[[#This Row],[Customer Type]],Lookup_Tables!$B$19:$B$21,Lookup_Tables!$C$19:$C$21,0)</f>
        <v>0.1</v>
      </c>
      <c r="M74" t="s">
        <v>35</v>
      </c>
      <c r="N74" s="11" t="str">
        <f>"Q"&amp;ROUNDUP(MONTH(tblSales[[#This Row],[Date]])/3,0)</f>
        <v>Q2</v>
      </c>
      <c r="O74" s="11">
        <f>YEAR(tblSales[[#This Row],[Date]])</f>
        <v>2025</v>
      </c>
      <c r="P74" s="1">
        <f>tblSales[[#This Row],[Quantity]]*tblSales[[#This Row],[Unit Price]]</f>
        <v>6480</v>
      </c>
      <c r="Q74" s="1">
        <f>tblSales[[#This Row],[Gross Sales]]*tblSales[[#This Row],[Discount%]]</f>
        <v>648</v>
      </c>
      <c r="R74" s="1">
        <f>tblSales[[#This Row],[Gross Sales]]-tblSales[[#This Row],[Discount Amount]]</f>
        <v>5832</v>
      </c>
    </row>
    <row r="75" spans="1:18" x14ac:dyDescent="0.35">
      <c r="A75" t="str">
        <f t="shared" si="1"/>
        <v>ORD-2026-0074</v>
      </c>
      <c r="B75" s="2">
        <v>45788</v>
      </c>
      <c r="C75" t="str">
        <f>TEXT(tblSales[[#This Row],[Date]],"mmmm")</f>
        <v>May</v>
      </c>
      <c r="D75" t="s">
        <v>27</v>
      </c>
      <c r="E75" t="str">
        <f>_xlfn.XLOOKUP(tblSales[[#This Row],[Saleperson]],Lookup_Tables!$B$5:$B$16,Lookup_Tables!$C$5:$C$16)</f>
        <v>East</v>
      </c>
      <c r="F75" s="5" t="s">
        <v>68</v>
      </c>
      <c r="G75" t="str">
        <f>_xlfn.XLOOKUP(tblSales[[#This Row],[Customer]],Lookup_Tables!$I$5:$I$34,Lookup_Tables!$J$5:$J$34)</f>
        <v>Government</v>
      </c>
      <c r="H75" t="str">
        <f>_xlfn.XLOOKUP(tblSales[[#This Row],[Product]],Lookup_Tables!$F$5:$F$23,Lookup_Tables!$E$5:$E$23,"")</f>
        <v>Furniture</v>
      </c>
      <c r="I75" t="s">
        <v>43</v>
      </c>
      <c r="J75" s="11">
        <v>1</v>
      </c>
      <c r="K75" s="1">
        <f>_xlfn.XLOOKUP(tblSales[[#This Row],[Product]],Lookup_Tables!$F$5:$F$23,Lookup_Tables!$G$5:$G$23,"")</f>
        <v>4200</v>
      </c>
      <c r="L75" s="12">
        <f>_xlfn.XLOOKUP(tblSales[[#This Row],[Customer Type]],Lookup_Tables!$B$19:$B$21,Lookup_Tables!$C$19:$C$21,0)</f>
        <v>0.15</v>
      </c>
      <c r="M75" t="s">
        <v>34</v>
      </c>
      <c r="N75" s="11" t="str">
        <f>"Q"&amp;ROUNDUP(MONTH(tblSales[[#This Row],[Date]])/3,0)</f>
        <v>Q2</v>
      </c>
      <c r="O75" s="11">
        <f>YEAR(tblSales[[#This Row],[Date]])</f>
        <v>2025</v>
      </c>
      <c r="P75" s="1">
        <f>tblSales[[#This Row],[Quantity]]*tblSales[[#This Row],[Unit Price]]</f>
        <v>4200</v>
      </c>
      <c r="Q75" s="1">
        <f>tblSales[[#This Row],[Gross Sales]]*tblSales[[#This Row],[Discount%]]</f>
        <v>630</v>
      </c>
      <c r="R75" s="1">
        <f>tblSales[[#This Row],[Gross Sales]]-tblSales[[#This Row],[Discount Amount]]</f>
        <v>3570</v>
      </c>
    </row>
    <row r="76" spans="1:18" x14ac:dyDescent="0.35">
      <c r="A76" t="str">
        <f t="shared" si="1"/>
        <v>ORD-2026-0075</v>
      </c>
      <c r="B76" s="2">
        <v>45789</v>
      </c>
      <c r="C76" t="str">
        <f>TEXT(tblSales[[#This Row],[Date]],"mmmm")</f>
        <v>May</v>
      </c>
      <c r="D76" t="s">
        <v>20</v>
      </c>
      <c r="E76" t="str">
        <f>_xlfn.XLOOKUP(tblSales[[#This Row],[Saleperson]],Lookup_Tables!$B$5:$B$16,Lookup_Tables!$C$5:$C$16)</f>
        <v>East</v>
      </c>
      <c r="F76" s="5" t="s">
        <v>84</v>
      </c>
      <c r="G76" t="str">
        <f>_xlfn.XLOOKUP(tblSales[[#This Row],[Customer]],Lookup_Tables!$I$5:$I$34,Lookup_Tables!$J$5:$J$34)</f>
        <v>Retail</v>
      </c>
      <c r="H76" t="str">
        <f>_xlfn.XLOOKUP(tblSales[[#This Row],[Product]],Lookup_Tables!$F$5:$F$23,Lookup_Tables!$E$5:$E$23,"")</f>
        <v>Office Supplies</v>
      </c>
      <c r="I76" t="s">
        <v>52</v>
      </c>
      <c r="J76" s="11">
        <v>5</v>
      </c>
      <c r="K76" s="1">
        <f>_xlfn.XLOOKUP(tblSales[[#This Row],[Product]],Lookup_Tables!$F$5:$F$23,Lookup_Tables!$G$5:$G$23,"")</f>
        <v>60</v>
      </c>
      <c r="L76" s="12">
        <f>_xlfn.XLOOKUP(tblSales[[#This Row],[Customer Type]],Lookup_Tables!$B$19:$B$21,Lookup_Tables!$C$19:$C$21,0)</f>
        <v>0</v>
      </c>
      <c r="M76" t="s">
        <v>33</v>
      </c>
      <c r="N76" s="11" t="str">
        <f>"Q"&amp;ROUNDUP(MONTH(tblSales[[#This Row],[Date]])/3,0)</f>
        <v>Q2</v>
      </c>
      <c r="O76" s="11">
        <f>YEAR(tblSales[[#This Row],[Date]])</f>
        <v>2025</v>
      </c>
      <c r="P76" s="1">
        <f>tblSales[[#This Row],[Quantity]]*tblSales[[#This Row],[Unit Price]]</f>
        <v>300</v>
      </c>
      <c r="Q76" s="1">
        <f>tblSales[[#This Row],[Gross Sales]]*tblSales[[#This Row],[Discount%]]</f>
        <v>0</v>
      </c>
      <c r="R76" s="1">
        <f>tblSales[[#This Row],[Gross Sales]]-tblSales[[#This Row],[Discount Amount]]</f>
        <v>300</v>
      </c>
    </row>
    <row r="77" spans="1:18" x14ac:dyDescent="0.35">
      <c r="A77" t="str">
        <f t="shared" si="1"/>
        <v>ORD-2026-0076</v>
      </c>
      <c r="B77" s="2">
        <v>45792</v>
      </c>
      <c r="C77" t="str">
        <f>TEXT(tblSales[[#This Row],[Date]],"mmmm")</f>
        <v>May</v>
      </c>
      <c r="D77" t="s">
        <v>22</v>
      </c>
      <c r="E77" t="str">
        <f>_xlfn.XLOOKUP(tblSales[[#This Row],[Saleperson]],Lookup_Tables!$B$5:$B$16,Lookup_Tables!$C$5:$C$16)</f>
        <v>North</v>
      </c>
      <c r="F77" t="s">
        <v>67</v>
      </c>
      <c r="G77" t="str">
        <f>_xlfn.XLOOKUP(tblSales[[#This Row],[Customer]],Lookup_Tables!$I$5:$I$34,Lookup_Tables!$J$5:$J$34)</f>
        <v>Government</v>
      </c>
      <c r="H77" t="str">
        <f>_xlfn.XLOOKUP(tblSales[[#This Row],[Product]],Lookup_Tables!$F$5:$F$23,Lookup_Tables!$E$5:$E$23,"")</f>
        <v>Office Supplies</v>
      </c>
      <c r="I77" t="s">
        <v>50</v>
      </c>
      <c r="J77" s="11">
        <v>5</v>
      </c>
      <c r="K77" s="1">
        <f>_xlfn.XLOOKUP(tblSales[[#This Row],[Product]],Lookup_Tables!$F$5:$F$23,Lookup_Tables!$G$5:$G$23,"")</f>
        <v>180</v>
      </c>
      <c r="L77" s="12">
        <f>_xlfn.XLOOKUP(tblSales[[#This Row],[Customer Type]],Lookup_Tables!$B$19:$B$21,Lookup_Tables!$C$19:$C$21,0)</f>
        <v>0.15</v>
      </c>
      <c r="M77" t="s">
        <v>32</v>
      </c>
      <c r="N77" s="11" t="str">
        <f>"Q"&amp;ROUNDUP(MONTH(tblSales[[#This Row],[Date]])/3,0)</f>
        <v>Q2</v>
      </c>
      <c r="O77" s="11">
        <f>YEAR(tblSales[[#This Row],[Date]])</f>
        <v>2025</v>
      </c>
      <c r="P77" s="1">
        <f>tblSales[[#This Row],[Quantity]]*tblSales[[#This Row],[Unit Price]]</f>
        <v>900</v>
      </c>
      <c r="Q77" s="1">
        <f>tblSales[[#This Row],[Gross Sales]]*tblSales[[#This Row],[Discount%]]</f>
        <v>135</v>
      </c>
      <c r="R77" s="1">
        <f>tblSales[[#This Row],[Gross Sales]]-tblSales[[#This Row],[Discount Amount]]</f>
        <v>765</v>
      </c>
    </row>
    <row r="78" spans="1:18" x14ac:dyDescent="0.35">
      <c r="A78" t="str">
        <f t="shared" si="1"/>
        <v>ORD-2026-0077</v>
      </c>
      <c r="B78" s="2">
        <v>45793</v>
      </c>
      <c r="C78" t="str">
        <f>TEXT(tblSales[[#This Row],[Date]],"mmmm")</f>
        <v>May</v>
      </c>
      <c r="D78" t="s">
        <v>21</v>
      </c>
      <c r="E78" t="str">
        <f>_xlfn.XLOOKUP(tblSales[[#This Row],[Saleperson]],Lookup_Tables!$B$5:$B$16,Lookup_Tables!$C$5:$C$16)</f>
        <v>South</v>
      </c>
      <c r="F78" s="5" t="s">
        <v>73</v>
      </c>
      <c r="G78" t="str">
        <f>_xlfn.XLOOKUP(tblSales[[#This Row],[Customer]],Lookup_Tables!$I$5:$I$34,Lookup_Tables!$J$5:$J$34)</f>
        <v>Retail</v>
      </c>
      <c r="H78" t="str">
        <f>_xlfn.XLOOKUP(tblSales[[#This Row],[Product]],Lookup_Tables!$F$5:$F$23,Lookup_Tables!$E$5:$E$23,"")</f>
        <v>Furniture</v>
      </c>
      <c r="I78" t="s">
        <v>46</v>
      </c>
      <c r="J78" s="11">
        <v>3</v>
      </c>
      <c r="K78" s="1">
        <f>_xlfn.XLOOKUP(tblSales[[#This Row],[Product]],Lookup_Tables!$F$5:$F$23,Lookup_Tables!$G$5:$G$23,"")</f>
        <v>3100</v>
      </c>
      <c r="L78" s="12">
        <f>_xlfn.XLOOKUP(tblSales[[#This Row],[Customer Type]],Lookup_Tables!$B$19:$B$21,Lookup_Tables!$C$19:$C$21,0)</f>
        <v>0</v>
      </c>
      <c r="M78" t="s">
        <v>33</v>
      </c>
      <c r="N78" s="11" t="str">
        <f>"Q"&amp;ROUNDUP(MONTH(tblSales[[#This Row],[Date]])/3,0)</f>
        <v>Q2</v>
      </c>
      <c r="O78" s="11">
        <f>YEAR(tblSales[[#This Row],[Date]])</f>
        <v>2025</v>
      </c>
      <c r="P78" s="1">
        <f>tblSales[[#This Row],[Quantity]]*tblSales[[#This Row],[Unit Price]]</f>
        <v>9300</v>
      </c>
      <c r="Q78" s="1">
        <f>tblSales[[#This Row],[Gross Sales]]*tblSales[[#This Row],[Discount%]]</f>
        <v>0</v>
      </c>
      <c r="R78" s="1">
        <f>tblSales[[#This Row],[Gross Sales]]-tblSales[[#This Row],[Discount Amount]]</f>
        <v>9300</v>
      </c>
    </row>
    <row r="79" spans="1:18" x14ac:dyDescent="0.35">
      <c r="A79" t="str">
        <f t="shared" si="1"/>
        <v>ORD-2026-0078</v>
      </c>
      <c r="B79" s="2">
        <v>45809</v>
      </c>
      <c r="C79" t="str">
        <f>TEXT(tblSales[[#This Row],[Date]],"mmmm")</f>
        <v>June</v>
      </c>
      <c r="D79" t="s">
        <v>24</v>
      </c>
      <c r="E79" t="str">
        <f>_xlfn.XLOOKUP(tblSales[[#This Row],[Saleperson]],Lookup_Tables!$B$5:$B$16,Lookup_Tables!$C$5:$C$16)</f>
        <v>South</v>
      </c>
      <c r="F79" t="s">
        <v>63</v>
      </c>
      <c r="G79" t="str">
        <f>_xlfn.XLOOKUP(tblSales[[#This Row],[Customer]],Lookup_Tables!$I$5:$I$34,Lookup_Tables!$J$5:$J$34)</f>
        <v>Retail</v>
      </c>
      <c r="H79" t="str">
        <f>_xlfn.XLOOKUP(tblSales[[#This Row],[Product]],Lookup_Tables!$F$5:$F$23,Lookup_Tables!$E$5:$E$23,"")</f>
        <v>Office Supplies</v>
      </c>
      <c r="I79" t="s">
        <v>54</v>
      </c>
      <c r="J79" s="11">
        <v>10</v>
      </c>
      <c r="K79" s="1">
        <f>_xlfn.XLOOKUP(tblSales[[#This Row],[Product]],Lookup_Tables!$F$5:$F$23,Lookup_Tables!$G$5:$G$23,"")</f>
        <v>210</v>
      </c>
      <c r="L79" s="12">
        <f>_xlfn.XLOOKUP(tblSales[[#This Row],[Customer Type]],Lookup_Tables!$B$19:$B$21,Lookup_Tables!$C$19:$C$21,0)</f>
        <v>0</v>
      </c>
      <c r="M79" t="s">
        <v>34</v>
      </c>
      <c r="N79" s="11" t="str">
        <f>"Q"&amp;ROUNDUP(MONTH(tblSales[[#This Row],[Date]])/3,0)</f>
        <v>Q2</v>
      </c>
      <c r="O79" s="11">
        <f>YEAR(tblSales[[#This Row],[Date]])</f>
        <v>2025</v>
      </c>
      <c r="P79" s="1">
        <f>tblSales[[#This Row],[Quantity]]*tblSales[[#This Row],[Unit Price]]</f>
        <v>2100</v>
      </c>
      <c r="Q79" s="1">
        <f>tblSales[[#This Row],[Gross Sales]]*tblSales[[#This Row],[Discount%]]</f>
        <v>0</v>
      </c>
      <c r="R79" s="1">
        <f>tblSales[[#This Row],[Gross Sales]]-tblSales[[#This Row],[Discount Amount]]</f>
        <v>2100</v>
      </c>
    </row>
    <row r="80" spans="1:18" x14ac:dyDescent="0.35">
      <c r="A80" t="str">
        <f t="shared" si="1"/>
        <v>ORD-2026-0079</v>
      </c>
      <c r="B80" s="2">
        <v>45816</v>
      </c>
      <c r="C80" t="str">
        <f>TEXT(tblSales[[#This Row],[Date]],"mmmm")</f>
        <v>June</v>
      </c>
      <c r="D80" t="s">
        <v>17</v>
      </c>
      <c r="E80" t="str">
        <f>_xlfn.XLOOKUP(tblSales[[#This Row],[Saleperson]],Lookup_Tables!$B$5:$B$16,Lookup_Tables!$C$5:$C$16)</f>
        <v>North</v>
      </c>
      <c r="F80" t="s">
        <v>65</v>
      </c>
      <c r="G80" t="str">
        <f>_xlfn.XLOOKUP(tblSales[[#This Row],[Customer]],Lookup_Tables!$I$5:$I$34,Lookup_Tables!$J$5:$J$34)</f>
        <v>Retail</v>
      </c>
      <c r="H80" t="str">
        <f>_xlfn.XLOOKUP(tblSales[[#This Row],[Product]],Lookup_Tables!$F$5:$F$23,Lookup_Tables!$E$5:$E$23,"")</f>
        <v>Office Supplies</v>
      </c>
      <c r="I80" t="s">
        <v>55</v>
      </c>
      <c r="J80" s="11">
        <v>8</v>
      </c>
      <c r="K80" s="1">
        <f>_xlfn.XLOOKUP(tblSales[[#This Row],[Product]],Lookup_Tables!$F$5:$F$23,Lookup_Tables!$G$5:$G$23,"")</f>
        <v>75</v>
      </c>
      <c r="L80" s="12">
        <f>_xlfn.XLOOKUP(tblSales[[#This Row],[Customer Type]],Lookup_Tables!$B$19:$B$21,Lookup_Tables!$C$19:$C$21,0)</f>
        <v>0</v>
      </c>
      <c r="M80" t="s">
        <v>34</v>
      </c>
      <c r="N80" s="11" t="str">
        <f>"Q"&amp;ROUNDUP(MONTH(tblSales[[#This Row],[Date]])/3,0)</f>
        <v>Q2</v>
      </c>
      <c r="O80" s="11">
        <f>YEAR(tblSales[[#This Row],[Date]])</f>
        <v>2025</v>
      </c>
      <c r="P80" s="1">
        <f>tblSales[[#This Row],[Quantity]]*tblSales[[#This Row],[Unit Price]]</f>
        <v>600</v>
      </c>
      <c r="Q80" s="1">
        <f>tblSales[[#This Row],[Gross Sales]]*tblSales[[#This Row],[Discount%]]</f>
        <v>0</v>
      </c>
      <c r="R80" s="1">
        <f>tblSales[[#This Row],[Gross Sales]]-tblSales[[#This Row],[Discount Amount]]</f>
        <v>600</v>
      </c>
    </row>
    <row r="81" spans="1:18" x14ac:dyDescent="0.35">
      <c r="A81" t="str">
        <f t="shared" si="1"/>
        <v>ORD-2026-0080</v>
      </c>
      <c r="B81" s="2">
        <v>45817</v>
      </c>
      <c r="C81" t="str">
        <f>TEXT(tblSales[[#This Row],[Date]],"mmmm")</f>
        <v>June</v>
      </c>
      <c r="D81" t="s">
        <v>19</v>
      </c>
      <c r="E81" t="str">
        <f>_xlfn.XLOOKUP(tblSales[[#This Row],[Saleperson]],Lookup_Tables!$B$5:$B$16,Lookup_Tables!$C$5:$C$16)</f>
        <v>West</v>
      </c>
      <c r="F81" s="5" t="s">
        <v>70</v>
      </c>
      <c r="G81" t="str">
        <f>_xlfn.XLOOKUP(tblSales[[#This Row],[Customer]],Lookup_Tables!$I$5:$I$34,Lookup_Tables!$J$5:$J$34)</f>
        <v>Retail</v>
      </c>
      <c r="H81" t="str">
        <f>_xlfn.XLOOKUP(tblSales[[#This Row],[Product]],Lookup_Tables!$F$5:$F$23,Lookup_Tables!$E$5:$E$23,"")</f>
        <v>Furniture</v>
      </c>
      <c r="I81" t="s">
        <v>44</v>
      </c>
      <c r="J81" s="11">
        <v>9</v>
      </c>
      <c r="K81" s="1">
        <f>_xlfn.XLOOKUP(tblSales[[#This Row],[Product]],Lookup_Tables!$F$5:$F$23,Lookup_Tables!$G$5:$G$23,"")</f>
        <v>6900</v>
      </c>
      <c r="L81" s="12">
        <f>_xlfn.XLOOKUP(tblSales[[#This Row],[Customer Type]],Lookup_Tables!$B$19:$B$21,Lookup_Tables!$C$19:$C$21,0)</f>
        <v>0</v>
      </c>
      <c r="M81" t="s">
        <v>33</v>
      </c>
      <c r="N81" s="11" t="str">
        <f>"Q"&amp;ROUNDUP(MONTH(tblSales[[#This Row],[Date]])/3,0)</f>
        <v>Q2</v>
      </c>
      <c r="O81" s="11">
        <f>YEAR(tblSales[[#This Row],[Date]])</f>
        <v>2025</v>
      </c>
      <c r="P81" s="1">
        <f>tblSales[[#This Row],[Quantity]]*tblSales[[#This Row],[Unit Price]]</f>
        <v>62100</v>
      </c>
      <c r="Q81" s="1">
        <f>tblSales[[#This Row],[Gross Sales]]*tblSales[[#This Row],[Discount%]]</f>
        <v>0</v>
      </c>
      <c r="R81" s="1">
        <f>tblSales[[#This Row],[Gross Sales]]-tblSales[[#This Row],[Discount Amount]]</f>
        <v>62100</v>
      </c>
    </row>
    <row r="82" spans="1:18" x14ac:dyDescent="0.35">
      <c r="A82" t="str">
        <f t="shared" si="1"/>
        <v>ORD-2026-0081</v>
      </c>
      <c r="B82" s="2">
        <v>45818</v>
      </c>
      <c r="C82" t="str">
        <f>TEXT(tblSales[[#This Row],[Date]],"mmmm")</f>
        <v>June</v>
      </c>
      <c r="D82" t="s">
        <v>28</v>
      </c>
      <c r="E82" t="str">
        <f>_xlfn.XLOOKUP(tblSales[[#This Row],[Saleperson]],Lookup_Tables!$B$5:$B$16,Lookup_Tables!$C$5:$C$16)</f>
        <v>South</v>
      </c>
      <c r="F82" s="5" t="s">
        <v>67</v>
      </c>
      <c r="G82" t="str">
        <f>_xlfn.XLOOKUP(tblSales[[#This Row],[Customer]],Lookup_Tables!$I$5:$I$34,Lookup_Tables!$J$5:$J$34)</f>
        <v>Government</v>
      </c>
      <c r="H82" t="str">
        <f>_xlfn.XLOOKUP(tblSales[[#This Row],[Product]],Lookup_Tables!$F$5:$F$23,Lookup_Tables!$E$5:$E$23,"")</f>
        <v>Electronics</v>
      </c>
      <c r="I82" t="s">
        <v>37</v>
      </c>
      <c r="J82" s="11">
        <v>10</v>
      </c>
      <c r="K82" s="1">
        <f>_xlfn.XLOOKUP(tblSales[[#This Row],[Product]],Lookup_Tables!$F$5:$F$23,Lookup_Tables!$G$5:$G$23,"")</f>
        <v>20000</v>
      </c>
      <c r="L82" s="6">
        <f>_xlfn.XLOOKUP(tblSales[[#This Row],[Customer Type]],Lookup_Tables!$B$19:$B$21,Lookup_Tables!$C$19:$C$21,0)</f>
        <v>0.15</v>
      </c>
      <c r="M82" t="s">
        <v>34</v>
      </c>
      <c r="N82" s="11" t="str">
        <f>"Q"&amp;ROUNDUP(MONTH(tblSales[[#This Row],[Date]])/3,0)</f>
        <v>Q2</v>
      </c>
      <c r="O82" s="11">
        <f>YEAR(tblSales[[#This Row],[Date]])</f>
        <v>2025</v>
      </c>
      <c r="P82" s="1">
        <f>tblSales[[#This Row],[Quantity]]*tblSales[[#This Row],[Unit Price]]</f>
        <v>200000</v>
      </c>
      <c r="Q82" s="1">
        <f>tblSales[[#This Row],[Gross Sales]]*tblSales[[#This Row],[Discount%]]</f>
        <v>30000</v>
      </c>
      <c r="R82" s="1">
        <f>tblSales[[#This Row],[Gross Sales]]-tblSales[[#This Row],[Discount Amount]]</f>
        <v>170000</v>
      </c>
    </row>
    <row r="83" spans="1:18" x14ac:dyDescent="0.35">
      <c r="A83" t="str">
        <f t="shared" si="1"/>
        <v>ORD-2026-0082</v>
      </c>
      <c r="B83" s="2">
        <v>45820</v>
      </c>
      <c r="C83" t="str">
        <f>TEXT(tblSales[[#This Row],[Date]],"mmmm")</f>
        <v>June</v>
      </c>
      <c r="D83" t="s">
        <v>18</v>
      </c>
      <c r="E83" t="str">
        <f>_xlfn.XLOOKUP(tblSales[[#This Row],[Saleperson]],Lookup_Tables!$B$5:$B$16,Lookup_Tables!$C$5:$C$16)</f>
        <v>South</v>
      </c>
      <c r="F83" s="5" t="s">
        <v>76</v>
      </c>
      <c r="G83" t="str">
        <f>_xlfn.XLOOKUP(tblSales[[#This Row],[Customer]],Lookup_Tables!$I$5:$I$34,Lookup_Tables!$J$5:$J$34)</f>
        <v>Retail</v>
      </c>
      <c r="H83" t="str">
        <f>_xlfn.XLOOKUP(tblSales[[#This Row],[Product]],Lookup_Tables!$F$5:$F$23,Lookup_Tables!$E$5:$E$23,"")</f>
        <v>Furniture</v>
      </c>
      <c r="I83" t="s">
        <v>47</v>
      </c>
      <c r="J83" s="11">
        <v>7</v>
      </c>
      <c r="K83" s="1">
        <f>_xlfn.XLOOKUP(tblSales[[#This Row],[Product]],Lookup_Tables!$F$5:$F$23,Lookup_Tables!$G$5:$G$23,"")</f>
        <v>7500</v>
      </c>
      <c r="L83" s="12">
        <f>_xlfn.XLOOKUP(tblSales[[#This Row],[Customer Type]],Lookup_Tables!$B$19:$B$21,Lookup_Tables!$C$19:$C$21,0)</f>
        <v>0</v>
      </c>
      <c r="M83" t="s">
        <v>32</v>
      </c>
      <c r="N83" s="11" t="str">
        <f>"Q"&amp;ROUNDUP(MONTH(tblSales[[#This Row],[Date]])/3,0)</f>
        <v>Q2</v>
      </c>
      <c r="O83" s="11">
        <f>YEAR(tblSales[[#This Row],[Date]])</f>
        <v>2025</v>
      </c>
      <c r="P83" s="1">
        <f>tblSales[[#This Row],[Quantity]]*tblSales[[#This Row],[Unit Price]]</f>
        <v>52500</v>
      </c>
      <c r="Q83" s="1">
        <f>tblSales[[#This Row],[Gross Sales]]*tblSales[[#This Row],[Discount%]]</f>
        <v>0</v>
      </c>
      <c r="R83" s="1">
        <f>tblSales[[#This Row],[Gross Sales]]-tblSales[[#This Row],[Discount Amount]]</f>
        <v>52500</v>
      </c>
    </row>
    <row r="84" spans="1:18" x14ac:dyDescent="0.35">
      <c r="A84" t="str">
        <f t="shared" si="1"/>
        <v>ORD-2026-0083</v>
      </c>
      <c r="B84" s="2">
        <v>45822</v>
      </c>
      <c r="C84" t="str">
        <f>TEXT(tblSales[[#This Row],[Date]],"mmmm")</f>
        <v>June</v>
      </c>
      <c r="D84" t="s">
        <v>26</v>
      </c>
      <c r="E84" t="str">
        <f>_xlfn.XLOOKUP(tblSales[[#This Row],[Saleperson]],Lookup_Tables!$B$5:$B$16,Lookup_Tables!$C$5:$C$16)</f>
        <v>North</v>
      </c>
      <c r="F84" t="s">
        <v>63</v>
      </c>
      <c r="G84" t="str">
        <f>_xlfn.XLOOKUP(tblSales[[#This Row],[Customer]],Lookup_Tables!$I$5:$I$34,Lookup_Tables!$J$5:$J$34)</f>
        <v>Retail</v>
      </c>
      <c r="H84" t="str">
        <f>_xlfn.XLOOKUP(tblSales[[#This Row],[Product]],Lookup_Tables!$F$5:$F$23,Lookup_Tables!$E$5:$E$23,"")</f>
        <v>Office Supplies</v>
      </c>
      <c r="I84" t="s">
        <v>57</v>
      </c>
      <c r="J84" s="11">
        <v>1</v>
      </c>
      <c r="K84" s="1">
        <f>_xlfn.XLOOKUP(tblSales[[#This Row],[Product]],Lookup_Tables!$F$5:$F$23,Lookup_Tables!$G$5:$G$23,"")</f>
        <v>5000</v>
      </c>
      <c r="L84" s="12">
        <f>_xlfn.XLOOKUP(tblSales[[#This Row],[Customer Type]],Lookup_Tables!$B$19:$B$21,Lookup_Tables!$C$19:$C$21,0)</f>
        <v>0</v>
      </c>
      <c r="M84" t="s">
        <v>32</v>
      </c>
      <c r="N84" s="11" t="str">
        <f>"Q"&amp;ROUNDUP(MONTH(tblSales[[#This Row],[Date]])/3,0)</f>
        <v>Q2</v>
      </c>
      <c r="O84" s="11">
        <f>YEAR(tblSales[[#This Row],[Date]])</f>
        <v>2025</v>
      </c>
      <c r="P84" s="1">
        <f>tblSales[[#This Row],[Quantity]]*tblSales[[#This Row],[Unit Price]]</f>
        <v>5000</v>
      </c>
      <c r="Q84" s="1">
        <f>tblSales[[#This Row],[Gross Sales]]*tblSales[[#This Row],[Discount%]]</f>
        <v>0</v>
      </c>
      <c r="R84" s="1">
        <f>tblSales[[#This Row],[Gross Sales]]-tblSales[[#This Row],[Discount Amount]]</f>
        <v>5000</v>
      </c>
    </row>
    <row r="85" spans="1:18" x14ac:dyDescent="0.35">
      <c r="A85" t="str">
        <f t="shared" si="1"/>
        <v>ORD-2026-0084</v>
      </c>
      <c r="B85" s="2">
        <v>45825</v>
      </c>
      <c r="C85" t="str">
        <f>TEXT(tblSales[[#This Row],[Date]],"mmmm")</f>
        <v>June</v>
      </c>
      <c r="D85" t="s">
        <v>22</v>
      </c>
      <c r="E85" t="str">
        <f>_xlfn.XLOOKUP(tblSales[[#This Row],[Saleperson]],Lookup_Tables!$B$5:$B$16,Lookup_Tables!$C$5:$C$16)</f>
        <v>North</v>
      </c>
      <c r="F85" s="5" t="s">
        <v>74</v>
      </c>
      <c r="G85" t="str">
        <f>_xlfn.XLOOKUP(tblSales[[#This Row],[Customer]],Lookup_Tables!$I$5:$I$34,Lookup_Tables!$J$5:$J$34)</f>
        <v>Retail</v>
      </c>
      <c r="H85" t="str">
        <f>_xlfn.XLOOKUP(tblSales[[#This Row],[Product]],Lookup_Tables!$F$5:$F$23,Lookup_Tables!$E$5:$E$23,"")</f>
        <v>Office Supplies</v>
      </c>
      <c r="I85" t="s">
        <v>55</v>
      </c>
      <c r="J85" s="11">
        <v>4</v>
      </c>
      <c r="K85" s="1">
        <f>_xlfn.XLOOKUP(tblSales[[#This Row],[Product]],Lookup_Tables!$F$5:$F$23,Lookup_Tables!$G$5:$G$23,"")</f>
        <v>75</v>
      </c>
      <c r="L85" s="12">
        <f>_xlfn.XLOOKUP(tblSales[[#This Row],[Customer Type]],Lookup_Tables!$B$19:$B$21,Lookup_Tables!$C$19:$C$21,0)</f>
        <v>0</v>
      </c>
      <c r="M85" t="s">
        <v>32</v>
      </c>
      <c r="N85" s="11" t="str">
        <f>"Q"&amp;ROUNDUP(MONTH(tblSales[[#This Row],[Date]])/3,0)</f>
        <v>Q2</v>
      </c>
      <c r="O85" s="11">
        <f>YEAR(tblSales[[#This Row],[Date]])</f>
        <v>2025</v>
      </c>
      <c r="P85" s="1">
        <f>tblSales[[#This Row],[Quantity]]*tblSales[[#This Row],[Unit Price]]</f>
        <v>300</v>
      </c>
      <c r="Q85" s="1">
        <f>tblSales[[#This Row],[Gross Sales]]*tblSales[[#This Row],[Discount%]]</f>
        <v>0</v>
      </c>
      <c r="R85" s="1">
        <f>tblSales[[#This Row],[Gross Sales]]-tblSales[[#This Row],[Discount Amount]]</f>
        <v>300</v>
      </c>
    </row>
    <row r="86" spans="1:18" x14ac:dyDescent="0.35">
      <c r="A86" t="str">
        <f t="shared" si="1"/>
        <v>ORD-2026-0085</v>
      </c>
      <c r="B86" s="2">
        <v>45826</v>
      </c>
      <c r="C86" t="str">
        <f>TEXT(tblSales[[#This Row],[Date]],"mmmm")</f>
        <v>June</v>
      </c>
      <c r="D86" t="s">
        <v>25</v>
      </c>
      <c r="E86" t="str">
        <f>_xlfn.XLOOKUP(tblSales[[#This Row],[Saleperson]],Lookup_Tables!$B$5:$B$16,Lookup_Tables!$C$5:$C$16)</f>
        <v>West</v>
      </c>
      <c r="F86" t="s">
        <v>63</v>
      </c>
      <c r="G86" t="str">
        <f>_xlfn.XLOOKUP(tblSales[[#This Row],[Customer]],Lookup_Tables!$I$5:$I$34,Lookup_Tables!$J$5:$J$34)</f>
        <v>Retail</v>
      </c>
      <c r="H86" t="str">
        <f>_xlfn.XLOOKUP(tblSales[[#This Row],[Product]],Lookup_Tables!$F$5:$F$23,Lookup_Tables!$E$5:$E$23,"")</f>
        <v>Furniture</v>
      </c>
      <c r="I86" t="s">
        <v>44</v>
      </c>
      <c r="J86" s="11">
        <v>8</v>
      </c>
      <c r="K86" s="1">
        <f>_xlfn.XLOOKUP(tblSales[[#This Row],[Product]],Lookup_Tables!$F$5:$F$23,Lookup_Tables!$G$5:$G$23,"")</f>
        <v>6900</v>
      </c>
      <c r="L86" s="12">
        <f>_xlfn.XLOOKUP(tblSales[[#This Row],[Customer Type]],Lookup_Tables!$B$19:$B$21,Lookup_Tables!$C$19:$C$21,0)</f>
        <v>0</v>
      </c>
      <c r="M86" t="s">
        <v>33</v>
      </c>
      <c r="N86" s="11" t="str">
        <f>"Q"&amp;ROUNDUP(MONTH(tblSales[[#This Row],[Date]])/3,0)</f>
        <v>Q2</v>
      </c>
      <c r="O86" s="11">
        <f>YEAR(tblSales[[#This Row],[Date]])</f>
        <v>2025</v>
      </c>
      <c r="P86" s="1">
        <f>tblSales[[#This Row],[Quantity]]*tblSales[[#This Row],[Unit Price]]</f>
        <v>55200</v>
      </c>
      <c r="Q86" s="1">
        <f>tblSales[[#This Row],[Gross Sales]]*tblSales[[#This Row],[Discount%]]</f>
        <v>0</v>
      </c>
      <c r="R86" s="1">
        <f>tblSales[[#This Row],[Gross Sales]]-tblSales[[#This Row],[Discount Amount]]</f>
        <v>55200</v>
      </c>
    </row>
    <row r="87" spans="1:18" x14ac:dyDescent="0.35">
      <c r="A87" t="str">
        <f t="shared" si="1"/>
        <v>ORD-2026-0086</v>
      </c>
      <c r="B87" s="2">
        <v>45828</v>
      </c>
      <c r="C87" t="str">
        <f>TEXT(tblSales[[#This Row],[Date]],"mmmm")</f>
        <v>June</v>
      </c>
      <c r="D87" t="s">
        <v>23</v>
      </c>
      <c r="E87" t="str">
        <f>_xlfn.XLOOKUP(tblSales[[#This Row],[Saleperson]],Lookup_Tables!$B$5:$B$16,Lookup_Tables!$C$5:$C$16)</f>
        <v>West</v>
      </c>
      <c r="F87" s="5" t="s">
        <v>71</v>
      </c>
      <c r="G87" t="str">
        <f>_xlfn.XLOOKUP(tblSales[[#This Row],[Customer]],Lookup_Tables!$I$5:$I$34,Lookup_Tables!$J$5:$J$34)</f>
        <v>Government</v>
      </c>
      <c r="H87" t="str">
        <f>_xlfn.XLOOKUP(tblSales[[#This Row],[Product]],Lookup_Tables!$F$5:$F$23,Lookup_Tables!$E$5:$E$23,"")</f>
        <v>Office Supplies</v>
      </c>
      <c r="I87" t="s">
        <v>52</v>
      </c>
      <c r="J87" s="11">
        <v>3</v>
      </c>
      <c r="K87" s="1">
        <f>_xlfn.XLOOKUP(tblSales[[#This Row],[Product]],Lookup_Tables!$F$5:$F$23,Lookup_Tables!$G$5:$G$23,"")</f>
        <v>60</v>
      </c>
      <c r="L87" s="12">
        <f>_xlfn.XLOOKUP(tblSales[[#This Row],[Customer Type]],Lookup_Tables!$B$19:$B$21,Lookup_Tables!$C$19:$C$21,0)</f>
        <v>0.15</v>
      </c>
      <c r="M87" t="s">
        <v>32</v>
      </c>
      <c r="N87" s="11" t="str">
        <f>"Q"&amp;ROUNDUP(MONTH(tblSales[[#This Row],[Date]])/3,0)</f>
        <v>Q2</v>
      </c>
      <c r="O87" s="11">
        <f>YEAR(tblSales[[#This Row],[Date]])</f>
        <v>2025</v>
      </c>
      <c r="P87" s="1">
        <f>tblSales[[#This Row],[Quantity]]*tblSales[[#This Row],[Unit Price]]</f>
        <v>180</v>
      </c>
      <c r="Q87" s="1">
        <f>tblSales[[#This Row],[Gross Sales]]*tblSales[[#This Row],[Discount%]]</f>
        <v>27</v>
      </c>
      <c r="R87" s="1">
        <f>tblSales[[#This Row],[Gross Sales]]-tblSales[[#This Row],[Discount Amount]]</f>
        <v>153</v>
      </c>
    </row>
    <row r="88" spans="1:18" x14ac:dyDescent="0.35">
      <c r="A88" t="str">
        <f t="shared" si="1"/>
        <v>ORD-2026-0087</v>
      </c>
      <c r="B88" s="2">
        <v>45835</v>
      </c>
      <c r="C88" t="str">
        <f>TEXT(tblSales[[#This Row],[Date]],"mmmm")</f>
        <v>June</v>
      </c>
      <c r="D88" t="s">
        <v>27</v>
      </c>
      <c r="E88" t="str">
        <f>_xlfn.XLOOKUP(tblSales[[#This Row],[Saleperson]],Lookup_Tables!$B$5:$B$16,Lookup_Tables!$C$5:$C$16)</f>
        <v>East</v>
      </c>
      <c r="F88" t="s">
        <v>69</v>
      </c>
      <c r="G88" t="str">
        <f>_xlfn.XLOOKUP(tblSales[[#This Row],[Customer]],Lookup_Tables!$I$5:$I$34,Lookup_Tables!$J$5:$J$34)</f>
        <v>Retail</v>
      </c>
      <c r="H88" t="str">
        <f>_xlfn.XLOOKUP(tblSales[[#This Row],[Product]],Lookup_Tables!$F$5:$F$23,Lookup_Tables!$E$5:$E$23,"")</f>
        <v>Electronics</v>
      </c>
      <c r="I88" t="s">
        <v>39</v>
      </c>
      <c r="J88" s="11">
        <v>7</v>
      </c>
      <c r="K88" s="1">
        <f>_xlfn.XLOOKUP(tblSales[[#This Row],[Product]],Lookup_Tables!$F$5:$F$23,Lookup_Tables!$G$5:$G$23,"")</f>
        <v>9500</v>
      </c>
      <c r="L88" s="12">
        <f>_xlfn.XLOOKUP(tblSales[[#This Row],[Customer Type]],Lookup_Tables!$B$19:$B$21,Lookup_Tables!$C$19:$C$21,0)</f>
        <v>0</v>
      </c>
      <c r="M88" t="s">
        <v>32</v>
      </c>
      <c r="N88" s="11" t="str">
        <f>"Q"&amp;ROUNDUP(MONTH(tblSales[[#This Row],[Date]])/3,0)</f>
        <v>Q2</v>
      </c>
      <c r="O88" s="11">
        <f>YEAR(tblSales[[#This Row],[Date]])</f>
        <v>2025</v>
      </c>
      <c r="P88" s="1">
        <f>tblSales[[#This Row],[Quantity]]*tblSales[[#This Row],[Unit Price]]</f>
        <v>66500</v>
      </c>
      <c r="Q88" s="1">
        <f>tblSales[[#This Row],[Gross Sales]]*tblSales[[#This Row],[Discount%]]</f>
        <v>0</v>
      </c>
      <c r="R88" s="1">
        <f>tblSales[[#This Row],[Gross Sales]]-tblSales[[#This Row],[Discount Amount]]</f>
        <v>66500</v>
      </c>
    </row>
    <row r="89" spans="1:18" x14ac:dyDescent="0.35">
      <c r="A89" t="str">
        <f t="shared" si="1"/>
        <v>ORD-2026-0088</v>
      </c>
      <c r="B89" s="2">
        <v>45837</v>
      </c>
      <c r="C89" t="str">
        <f>TEXT(tblSales[[#This Row],[Date]],"mmmm")</f>
        <v>June</v>
      </c>
      <c r="D89" t="s">
        <v>18</v>
      </c>
      <c r="E89" t="str">
        <f>_xlfn.XLOOKUP(tblSales[[#This Row],[Saleperson]],Lookup_Tables!$B$5:$B$16,Lookup_Tables!$C$5:$C$16)</f>
        <v>South</v>
      </c>
      <c r="F89" t="s">
        <v>63</v>
      </c>
      <c r="G89" t="str">
        <f>_xlfn.XLOOKUP(tblSales[[#This Row],[Customer]],Lookup_Tables!$I$5:$I$34,Lookup_Tables!$J$5:$J$34)</f>
        <v>Retail</v>
      </c>
      <c r="H89" t="str">
        <f>_xlfn.XLOOKUP(tblSales[[#This Row],[Product]],Lookup_Tables!$F$5:$F$23,Lookup_Tables!$E$5:$E$23,"")</f>
        <v>Office Supplies</v>
      </c>
      <c r="I89" t="s">
        <v>54</v>
      </c>
      <c r="J89" s="11">
        <v>1</v>
      </c>
      <c r="K89" s="1">
        <f>_xlfn.XLOOKUP(tblSales[[#This Row],[Product]],Lookup_Tables!$F$5:$F$23,Lookup_Tables!$G$5:$G$23,"")</f>
        <v>210</v>
      </c>
      <c r="L89" s="12">
        <f>_xlfn.XLOOKUP(tblSales[[#This Row],[Customer Type]],Lookup_Tables!$B$19:$B$21,Lookup_Tables!$C$19:$C$21,0)</f>
        <v>0</v>
      </c>
      <c r="M89" t="s">
        <v>32</v>
      </c>
      <c r="N89" s="11" t="str">
        <f>"Q"&amp;ROUNDUP(MONTH(tblSales[[#This Row],[Date]])/3,0)</f>
        <v>Q2</v>
      </c>
      <c r="O89" s="11">
        <f>YEAR(tblSales[[#This Row],[Date]])</f>
        <v>2025</v>
      </c>
      <c r="P89" s="1">
        <f>tblSales[[#This Row],[Quantity]]*tblSales[[#This Row],[Unit Price]]</f>
        <v>210</v>
      </c>
      <c r="Q89" s="1">
        <f>tblSales[[#This Row],[Gross Sales]]*tblSales[[#This Row],[Discount%]]</f>
        <v>0</v>
      </c>
      <c r="R89" s="1">
        <f>tblSales[[#This Row],[Gross Sales]]-tblSales[[#This Row],[Discount Amount]]</f>
        <v>210</v>
      </c>
    </row>
    <row r="90" spans="1:18" x14ac:dyDescent="0.35">
      <c r="A90" t="str">
        <f t="shared" si="1"/>
        <v>ORD-2026-0089</v>
      </c>
      <c r="B90" s="2">
        <v>45839</v>
      </c>
      <c r="C90" t="str">
        <f>TEXT(tblSales[[#This Row],[Date]],"mmmm")</f>
        <v>July</v>
      </c>
      <c r="D90" t="s">
        <v>21</v>
      </c>
      <c r="E90" t="str">
        <f>_xlfn.XLOOKUP(tblSales[[#This Row],[Saleperson]],Lookup_Tables!$B$5:$B$16,Lookup_Tables!$C$5:$C$16)</f>
        <v>South</v>
      </c>
      <c r="F90" t="s">
        <v>65</v>
      </c>
      <c r="G90" t="str">
        <f>_xlfn.XLOOKUP(tblSales[[#This Row],[Customer]],Lookup_Tables!$I$5:$I$34,Lookup_Tables!$J$5:$J$34)</f>
        <v>Retail</v>
      </c>
      <c r="H90" t="str">
        <f>_xlfn.XLOOKUP(tblSales[[#This Row],[Product]],Lookup_Tables!$F$5:$F$23,Lookup_Tables!$E$5:$E$23,"")</f>
        <v>Electronics</v>
      </c>
      <c r="I90" t="s">
        <v>38</v>
      </c>
      <c r="J90" s="11">
        <v>10</v>
      </c>
      <c r="K90" s="1">
        <f>_xlfn.XLOOKUP(tblSales[[#This Row],[Product]],Lookup_Tables!$F$5:$F$23,Lookup_Tables!$G$5:$G$23,"")</f>
        <v>6000</v>
      </c>
      <c r="L90" s="12">
        <f>_xlfn.XLOOKUP(tblSales[[#This Row],[Customer Type]],Lookup_Tables!$B$19:$B$21,Lookup_Tables!$C$19:$C$21,0)</f>
        <v>0</v>
      </c>
      <c r="M90" t="s">
        <v>34</v>
      </c>
      <c r="N90" s="11" t="str">
        <f>"Q"&amp;ROUNDUP(MONTH(tblSales[[#This Row],[Date]])/3,0)</f>
        <v>Q3</v>
      </c>
      <c r="O90" s="11">
        <f>YEAR(tblSales[[#This Row],[Date]])</f>
        <v>2025</v>
      </c>
      <c r="P90" s="1">
        <f>tblSales[[#This Row],[Quantity]]*tblSales[[#This Row],[Unit Price]]</f>
        <v>60000</v>
      </c>
      <c r="Q90" s="1">
        <f>tblSales[[#This Row],[Gross Sales]]*tblSales[[#This Row],[Discount%]]</f>
        <v>0</v>
      </c>
      <c r="R90" s="1">
        <f>tblSales[[#This Row],[Gross Sales]]-tblSales[[#This Row],[Discount Amount]]</f>
        <v>60000</v>
      </c>
    </row>
    <row r="91" spans="1:18" x14ac:dyDescent="0.35">
      <c r="A91" t="str">
        <f t="shared" si="1"/>
        <v>ORD-2026-0090</v>
      </c>
      <c r="B91" s="2">
        <v>45841</v>
      </c>
      <c r="C91" t="str">
        <f>TEXT(tblSales[[#This Row],[Date]],"mmmm")</f>
        <v>July</v>
      </c>
      <c r="D91" t="s">
        <v>28</v>
      </c>
      <c r="E91" t="str">
        <f>_xlfn.XLOOKUP(tblSales[[#This Row],[Saleperson]],Lookup_Tables!$B$5:$B$16,Lookup_Tables!$C$5:$C$16)</f>
        <v>South</v>
      </c>
      <c r="F91" t="s">
        <v>63</v>
      </c>
      <c r="G91" t="str">
        <f>_xlfn.XLOOKUP(tblSales[[#This Row],[Customer]],Lookup_Tables!$I$5:$I$34,Lookup_Tables!$J$5:$J$34)</f>
        <v>Retail</v>
      </c>
      <c r="H91" t="str">
        <f>_xlfn.XLOOKUP(tblSales[[#This Row],[Product]],Lookup_Tables!$F$5:$F$23,Lookup_Tables!$E$5:$E$23,"")</f>
        <v>Furniture</v>
      </c>
      <c r="I91" t="s">
        <v>47</v>
      </c>
      <c r="J91" s="11">
        <v>9</v>
      </c>
      <c r="K91" s="1">
        <f>_xlfn.XLOOKUP(tblSales[[#This Row],[Product]],Lookup_Tables!$F$5:$F$23,Lookup_Tables!$G$5:$G$23,"")</f>
        <v>7500</v>
      </c>
      <c r="L91" s="12">
        <f>_xlfn.XLOOKUP(tblSales[[#This Row],[Customer Type]],Lookup_Tables!$B$19:$B$21,Lookup_Tables!$C$19:$C$21,0)</f>
        <v>0</v>
      </c>
      <c r="M91" t="s">
        <v>34</v>
      </c>
      <c r="N91" s="11" t="str">
        <f>"Q"&amp;ROUNDUP(MONTH(tblSales[[#This Row],[Date]])/3,0)</f>
        <v>Q3</v>
      </c>
      <c r="O91" s="11">
        <f>YEAR(tblSales[[#This Row],[Date]])</f>
        <v>2025</v>
      </c>
      <c r="P91" s="1">
        <f>tblSales[[#This Row],[Quantity]]*tblSales[[#This Row],[Unit Price]]</f>
        <v>67500</v>
      </c>
      <c r="Q91" s="1">
        <f>tblSales[[#This Row],[Gross Sales]]*tblSales[[#This Row],[Discount%]]</f>
        <v>0</v>
      </c>
      <c r="R91" s="1">
        <f>tblSales[[#This Row],[Gross Sales]]-tblSales[[#This Row],[Discount Amount]]</f>
        <v>67500</v>
      </c>
    </row>
    <row r="92" spans="1:18" x14ac:dyDescent="0.35">
      <c r="A92" t="str">
        <f t="shared" si="1"/>
        <v>ORD-2026-0091</v>
      </c>
      <c r="B92" s="2">
        <v>45843</v>
      </c>
      <c r="C92" t="str">
        <f>TEXT(tblSales[[#This Row],[Date]],"mmmm")</f>
        <v>July</v>
      </c>
      <c r="D92" t="s">
        <v>19</v>
      </c>
      <c r="E92" t="str">
        <f>_xlfn.XLOOKUP(tblSales[[#This Row],[Saleperson]],Lookup_Tables!$B$5:$B$16,Lookup_Tables!$C$5:$C$16)</f>
        <v>West</v>
      </c>
      <c r="F92" s="5" t="s">
        <v>70</v>
      </c>
      <c r="G92" t="str">
        <f>_xlfn.XLOOKUP(tblSales[[#This Row],[Customer]],Lookup_Tables!$I$5:$I$34,Lookup_Tables!$J$5:$J$34)</f>
        <v>Retail</v>
      </c>
      <c r="H92" t="str">
        <f>_xlfn.XLOOKUP(tblSales[[#This Row],[Product]],Lookup_Tables!$F$5:$F$23,Lookup_Tables!$E$5:$E$23,"")</f>
        <v>Office Supplies</v>
      </c>
      <c r="I92" t="s">
        <v>55</v>
      </c>
      <c r="J92" s="11">
        <v>7</v>
      </c>
      <c r="K92" s="1">
        <f>_xlfn.XLOOKUP(tblSales[[#This Row],[Product]],Lookup_Tables!$F$5:$F$23,Lookup_Tables!$G$5:$G$23,"")</f>
        <v>75</v>
      </c>
      <c r="L92" s="12">
        <f>_xlfn.XLOOKUP(tblSales[[#This Row],[Customer Type]],Lookup_Tables!$B$19:$B$21,Lookup_Tables!$C$19:$C$21,0)</f>
        <v>0</v>
      </c>
      <c r="M92" t="s">
        <v>35</v>
      </c>
      <c r="N92" s="11" t="str">
        <f>"Q"&amp;ROUNDUP(MONTH(tblSales[[#This Row],[Date]])/3,0)</f>
        <v>Q3</v>
      </c>
      <c r="O92" s="11">
        <f>YEAR(tblSales[[#This Row],[Date]])</f>
        <v>2025</v>
      </c>
      <c r="P92" s="1">
        <f>tblSales[[#This Row],[Quantity]]*tblSales[[#This Row],[Unit Price]]</f>
        <v>525</v>
      </c>
      <c r="Q92" s="1">
        <f>tblSales[[#This Row],[Gross Sales]]*tblSales[[#This Row],[Discount%]]</f>
        <v>0</v>
      </c>
      <c r="R92" s="1">
        <f>tblSales[[#This Row],[Gross Sales]]-tblSales[[#This Row],[Discount Amount]]</f>
        <v>525</v>
      </c>
    </row>
    <row r="93" spans="1:18" x14ac:dyDescent="0.35">
      <c r="A93" t="str">
        <f t="shared" si="1"/>
        <v>ORD-2026-0092</v>
      </c>
      <c r="B93" s="2">
        <v>45845</v>
      </c>
      <c r="C93" t="str">
        <f>TEXT(tblSales[[#This Row],[Date]],"mmmm")</f>
        <v>July</v>
      </c>
      <c r="D93" t="s">
        <v>20</v>
      </c>
      <c r="E93" t="str">
        <f>_xlfn.XLOOKUP(tblSales[[#This Row],[Saleperson]],Lookup_Tables!$B$5:$B$16,Lookup_Tables!$C$5:$C$16)</f>
        <v>East</v>
      </c>
      <c r="F93" s="5" t="s">
        <v>68</v>
      </c>
      <c r="G93" t="str">
        <f>_xlfn.XLOOKUP(tblSales[[#This Row],[Customer]],Lookup_Tables!$I$5:$I$34,Lookup_Tables!$J$5:$J$34)</f>
        <v>Government</v>
      </c>
      <c r="H93" t="str">
        <f>_xlfn.XLOOKUP(tblSales[[#This Row],[Product]],Lookup_Tables!$F$5:$F$23,Lookup_Tables!$E$5:$E$23,"")</f>
        <v>Office Supplies</v>
      </c>
      <c r="I93" t="s">
        <v>52</v>
      </c>
      <c r="J93" s="11">
        <v>7</v>
      </c>
      <c r="K93" s="1">
        <f>_xlfn.XLOOKUP(tblSales[[#This Row],[Product]],Lookup_Tables!$F$5:$F$23,Lookup_Tables!$G$5:$G$23,"")</f>
        <v>60</v>
      </c>
      <c r="L93" s="12">
        <f>_xlfn.XLOOKUP(tblSales[[#This Row],[Customer Type]],Lookup_Tables!$B$19:$B$21,Lookup_Tables!$C$19:$C$21,0)</f>
        <v>0.15</v>
      </c>
      <c r="M93" t="s">
        <v>35</v>
      </c>
      <c r="N93" s="11" t="str">
        <f>"Q"&amp;ROUNDUP(MONTH(tblSales[[#This Row],[Date]])/3,0)</f>
        <v>Q3</v>
      </c>
      <c r="O93" s="11">
        <f>YEAR(tblSales[[#This Row],[Date]])</f>
        <v>2025</v>
      </c>
      <c r="P93" s="1">
        <f>tblSales[[#This Row],[Quantity]]*tblSales[[#This Row],[Unit Price]]</f>
        <v>420</v>
      </c>
      <c r="Q93" s="1">
        <f>tblSales[[#This Row],[Gross Sales]]*tblSales[[#This Row],[Discount%]]</f>
        <v>63</v>
      </c>
      <c r="R93" s="1">
        <f>tblSales[[#This Row],[Gross Sales]]-tblSales[[#This Row],[Discount Amount]]</f>
        <v>357</v>
      </c>
    </row>
    <row r="94" spans="1:18" x14ac:dyDescent="0.35">
      <c r="A94" t="str">
        <f t="shared" si="1"/>
        <v>ORD-2026-0093</v>
      </c>
      <c r="B94" s="2">
        <v>45846</v>
      </c>
      <c r="C94" t="str">
        <f>TEXT(tblSales[[#This Row],[Date]],"mmmm")</f>
        <v>July</v>
      </c>
      <c r="D94" t="s">
        <v>26</v>
      </c>
      <c r="E94" t="str">
        <f>_xlfn.XLOOKUP(tblSales[[#This Row],[Saleperson]],Lookup_Tables!$B$5:$B$16,Lookup_Tables!$C$5:$C$16)</f>
        <v>North</v>
      </c>
      <c r="F94" s="5" t="s">
        <v>83</v>
      </c>
      <c r="G94" t="str">
        <f>_xlfn.XLOOKUP(tblSales[[#This Row],[Customer]],Lookup_Tables!$I$5:$I$34,Lookup_Tables!$J$5:$J$34)</f>
        <v>Corporate</v>
      </c>
      <c r="H94" t="str">
        <f>_xlfn.XLOOKUP(tblSales[[#This Row],[Product]],Lookup_Tables!$F$5:$F$23,Lookup_Tables!$E$5:$E$23,"")</f>
        <v>Office Supplies</v>
      </c>
      <c r="I94" t="s">
        <v>53</v>
      </c>
      <c r="J94" s="11">
        <v>2</v>
      </c>
      <c r="K94" s="1">
        <f>_xlfn.XLOOKUP(tblSales[[#This Row],[Product]],Lookup_Tables!$F$5:$F$23,Lookup_Tables!$G$5:$G$23,"")</f>
        <v>32</v>
      </c>
      <c r="L94" s="12">
        <f>_xlfn.XLOOKUP(tblSales[[#This Row],[Customer Type]],Lookup_Tables!$B$19:$B$21,Lookup_Tables!$C$19:$C$21,0)</f>
        <v>0.1</v>
      </c>
      <c r="M94" t="s">
        <v>35</v>
      </c>
      <c r="N94" s="11" t="str">
        <f>"Q"&amp;ROUNDUP(MONTH(tblSales[[#This Row],[Date]])/3,0)</f>
        <v>Q3</v>
      </c>
      <c r="O94" s="11">
        <f>YEAR(tblSales[[#This Row],[Date]])</f>
        <v>2025</v>
      </c>
      <c r="P94" s="1">
        <f>tblSales[[#This Row],[Quantity]]*tblSales[[#This Row],[Unit Price]]</f>
        <v>64</v>
      </c>
      <c r="Q94" s="1">
        <f>tblSales[[#This Row],[Gross Sales]]*tblSales[[#This Row],[Discount%]]</f>
        <v>6.4</v>
      </c>
      <c r="R94" s="1">
        <f>tblSales[[#This Row],[Gross Sales]]-tblSales[[#This Row],[Discount Amount]]</f>
        <v>57.6</v>
      </c>
    </row>
    <row r="95" spans="1:18" x14ac:dyDescent="0.35">
      <c r="A95" t="str">
        <f t="shared" si="1"/>
        <v>ORD-2026-0094</v>
      </c>
      <c r="B95" s="2">
        <v>45846</v>
      </c>
      <c r="C95" t="str">
        <f>TEXT(tblSales[[#This Row],[Date]],"mmmm")</f>
        <v>July</v>
      </c>
      <c r="D95" t="s">
        <v>25</v>
      </c>
      <c r="E95" t="str">
        <f>_xlfn.XLOOKUP(tblSales[[#This Row],[Saleperson]],Lookup_Tables!$B$5:$B$16,Lookup_Tables!$C$5:$C$16)</f>
        <v>West</v>
      </c>
      <c r="F95" t="s">
        <v>63</v>
      </c>
      <c r="G95" t="str">
        <f>_xlfn.XLOOKUP(tblSales[[#This Row],[Customer]],Lookup_Tables!$I$5:$I$34,Lookup_Tables!$J$5:$J$34)</f>
        <v>Retail</v>
      </c>
      <c r="H95" t="str">
        <f>_xlfn.XLOOKUP(tblSales[[#This Row],[Product]],Lookup_Tables!$F$5:$F$23,Lookup_Tables!$E$5:$E$23,"")</f>
        <v>Electronics</v>
      </c>
      <c r="I95" t="s">
        <v>40</v>
      </c>
      <c r="J95" s="11">
        <v>8</v>
      </c>
      <c r="K95" s="1">
        <f>_xlfn.XLOOKUP(tblSales[[#This Row],[Product]],Lookup_Tables!$F$5:$F$23,Lookup_Tables!$G$5:$G$23,"")</f>
        <v>850</v>
      </c>
      <c r="L95" s="12">
        <f>_xlfn.XLOOKUP(tblSales[[#This Row],[Customer Type]],Lookup_Tables!$B$19:$B$21,Lookup_Tables!$C$19:$C$21,0)</f>
        <v>0</v>
      </c>
      <c r="M95" t="s">
        <v>32</v>
      </c>
      <c r="N95" s="11" t="str">
        <f>"Q"&amp;ROUNDUP(MONTH(tblSales[[#This Row],[Date]])/3,0)</f>
        <v>Q3</v>
      </c>
      <c r="O95" s="11">
        <f>YEAR(tblSales[[#This Row],[Date]])</f>
        <v>2025</v>
      </c>
      <c r="P95" s="1">
        <f>tblSales[[#This Row],[Quantity]]*tblSales[[#This Row],[Unit Price]]</f>
        <v>6800</v>
      </c>
      <c r="Q95" s="1">
        <f>tblSales[[#This Row],[Gross Sales]]*tblSales[[#This Row],[Discount%]]</f>
        <v>0</v>
      </c>
      <c r="R95" s="1">
        <f>tblSales[[#This Row],[Gross Sales]]-tblSales[[#This Row],[Discount Amount]]</f>
        <v>6800</v>
      </c>
    </row>
    <row r="96" spans="1:18" x14ac:dyDescent="0.35">
      <c r="A96" t="str">
        <f t="shared" si="1"/>
        <v>ORD-2026-0095</v>
      </c>
      <c r="B96" s="2">
        <v>45848</v>
      </c>
      <c r="C96" t="str">
        <f>TEXT(tblSales[[#This Row],[Date]],"mmmm")</f>
        <v>July</v>
      </c>
      <c r="D96" t="s">
        <v>24</v>
      </c>
      <c r="E96" t="str">
        <f>_xlfn.XLOOKUP(tblSales[[#This Row],[Saleperson]],Lookup_Tables!$B$5:$B$16,Lookup_Tables!$C$5:$C$16)</f>
        <v>South</v>
      </c>
      <c r="F96" s="5" t="s">
        <v>73</v>
      </c>
      <c r="G96" t="str">
        <f>_xlfn.XLOOKUP(tblSales[[#This Row],[Customer]],Lookup_Tables!$I$5:$I$34,Lookup_Tables!$J$5:$J$34)</f>
        <v>Retail</v>
      </c>
      <c r="H96" t="str">
        <f>_xlfn.XLOOKUP(tblSales[[#This Row],[Product]],Lookup_Tables!$F$5:$F$23,Lookup_Tables!$E$5:$E$23,"")</f>
        <v>Furniture</v>
      </c>
      <c r="I96" t="s">
        <v>47</v>
      </c>
      <c r="J96" s="11">
        <v>8</v>
      </c>
      <c r="K96" s="1">
        <f>_xlfn.XLOOKUP(tblSales[[#This Row],[Product]],Lookup_Tables!$F$5:$F$23,Lookup_Tables!$G$5:$G$23,"")</f>
        <v>7500</v>
      </c>
      <c r="L96" s="12">
        <f>_xlfn.XLOOKUP(tblSales[[#This Row],[Customer Type]],Lookup_Tables!$B$19:$B$21,Lookup_Tables!$C$19:$C$21,0)</f>
        <v>0</v>
      </c>
      <c r="M96" t="s">
        <v>32</v>
      </c>
      <c r="N96" s="11" t="str">
        <f>"Q"&amp;ROUNDUP(MONTH(tblSales[[#This Row],[Date]])/3,0)</f>
        <v>Q3</v>
      </c>
      <c r="O96" s="11">
        <f>YEAR(tblSales[[#This Row],[Date]])</f>
        <v>2025</v>
      </c>
      <c r="P96" s="1">
        <f>tblSales[[#This Row],[Quantity]]*tblSales[[#This Row],[Unit Price]]</f>
        <v>60000</v>
      </c>
      <c r="Q96" s="1">
        <f>tblSales[[#This Row],[Gross Sales]]*tblSales[[#This Row],[Discount%]]</f>
        <v>0</v>
      </c>
      <c r="R96" s="1">
        <f>tblSales[[#This Row],[Gross Sales]]-tblSales[[#This Row],[Discount Amount]]</f>
        <v>60000</v>
      </c>
    </row>
    <row r="97" spans="1:18" x14ac:dyDescent="0.35">
      <c r="A97" t="str">
        <f t="shared" si="1"/>
        <v>ORD-2026-0096</v>
      </c>
      <c r="B97" s="2">
        <v>45850</v>
      </c>
      <c r="C97" t="str">
        <f>TEXT(tblSales[[#This Row],[Date]],"mmmm")</f>
        <v>July</v>
      </c>
      <c r="D97" t="s">
        <v>22</v>
      </c>
      <c r="E97" t="str">
        <f>_xlfn.XLOOKUP(tblSales[[#This Row],[Saleperson]],Lookup_Tables!$B$5:$B$16,Lookup_Tables!$C$5:$C$16)</f>
        <v>North</v>
      </c>
      <c r="F97" s="5" t="s">
        <v>77</v>
      </c>
      <c r="G97" t="str">
        <f>_xlfn.XLOOKUP(tblSales[[#This Row],[Customer]],Lookup_Tables!$I$5:$I$34,Lookup_Tables!$J$5:$J$34)</f>
        <v>Retail</v>
      </c>
      <c r="H97" t="str">
        <f>_xlfn.XLOOKUP(tblSales[[#This Row],[Product]],Lookup_Tables!$F$5:$F$23,Lookup_Tables!$E$5:$E$23,"")</f>
        <v>Office Supplies</v>
      </c>
      <c r="I97" t="s">
        <v>54</v>
      </c>
      <c r="J97" s="11">
        <v>6</v>
      </c>
      <c r="K97" s="1">
        <f>_xlfn.XLOOKUP(tblSales[[#This Row],[Product]],Lookup_Tables!$F$5:$F$23,Lookup_Tables!$G$5:$G$23,"")</f>
        <v>210</v>
      </c>
      <c r="L97" s="12">
        <f>_xlfn.XLOOKUP(tblSales[[#This Row],[Customer Type]],Lookup_Tables!$B$19:$B$21,Lookup_Tables!$C$19:$C$21,0)</f>
        <v>0</v>
      </c>
      <c r="M97" t="s">
        <v>32</v>
      </c>
      <c r="N97" s="11" t="str">
        <f>"Q"&amp;ROUNDUP(MONTH(tblSales[[#This Row],[Date]])/3,0)</f>
        <v>Q3</v>
      </c>
      <c r="O97" s="11">
        <f>YEAR(tblSales[[#This Row],[Date]])</f>
        <v>2025</v>
      </c>
      <c r="P97" s="1">
        <f>tblSales[[#This Row],[Quantity]]*tblSales[[#This Row],[Unit Price]]</f>
        <v>1260</v>
      </c>
      <c r="Q97" s="1">
        <f>tblSales[[#This Row],[Gross Sales]]*tblSales[[#This Row],[Discount%]]</f>
        <v>0</v>
      </c>
      <c r="R97" s="1">
        <f>tblSales[[#This Row],[Gross Sales]]-tblSales[[#This Row],[Discount Amount]]</f>
        <v>1260</v>
      </c>
    </row>
    <row r="98" spans="1:18" x14ac:dyDescent="0.35">
      <c r="A98" t="str">
        <f t="shared" si="1"/>
        <v>ORD-2026-0097</v>
      </c>
      <c r="B98" s="2">
        <v>45851</v>
      </c>
      <c r="C98" t="str">
        <f>TEXT(tblSales[[#This Row],[Date]],"mmmm")</f>
        <v>July</v>
      </c>
      <c r="D98" t="s">
        <v>21</v>
      </c>
      <c r="E98" t="str">
        <f>_xlfn.XLOOKUP(tblSales[[#This Row],[Saleperson]],Lookup_Tables!$B$5:$B$16,Lookup_Tables!$C$5:$C$16)</f>
        <v>South</v>
      </c>
      <c r="F98" s="5" t="s">
        <v>67</v>
      </c>
      <c r="G98" t="str">
        <f>_xlfn.XLOOKUP(tblSales[[#This Row],[Customer]],Lookup_Tables!$I$5:$I$34,Lookup_Tables!$J$5:$J$34)</f>
        <v>Government</v>
      </c>
      <c r="H98" t="str">
        <f>_xlfn.XLOOKUP(tblSales[[#This Row],[Product]],Lookup_Tables!$F$5:$F$23,Lookup_Tables!$E$5:$E$23,"")</f>
        <v>Furniture</v>
      </c>
      <c r="I98" t="s">
        <v>47</v>
      </c>
      <c r="J98" s="11">
        <v>7</v>
      </c>
      <c r="K98" s="1">
        <f>_xlfn.XLOOKUP(tblSales[[#This Row],[Product]],Lookup_Tables!$F$5:$F$23,Lookup_Tables!$G$5:$G$23,"")</f>
        <v>7500</v>
      </c>
      <c r="L98" s="12">
        <f>_xlfn.XLOOKUP(tblSales[[#This Row],[Customer Type]],Lookup_Tables!$B$19:$B$21,Lookup_Tables!$C$19:$C$21,0)</f>
        <v>0.15</v>
      </c>
      <c r="M98" t="s">
        <v>35</v>
      </c>
      <c r="N98" s="11" t="str">
        <f>"Q"&amp;ROUNDUP(MONTH(tblSales[[#This Row],[Date]])/3,0)</f>
        <v>Q3</v>
      </c>
      <c r="O98" s="11">
        <f>YEAR(tblSales[[#This Row],[Date]])</f>
        <v>2025</v>
      </c>
      <c r="P98" s="1">
        <f>tblSales[[#This Row],[Quantity]]*tblSales[[#This Row],[Unit Price]]</f>
        <v>52500</v>
      </c>
      <c r="Q98" s="1">
        <f>tblSales[[#This Row],[Gross Sales]]*tblSales[[#This Row],[Discount%]]</f>
        <v>7875</v>
      </c>
      <c r="R98" s="1">
        <f>tblSales[[#This Row],[Gross Sales]]-tblSales[[#This Row],[Discount Amount]]</f>
        <v>44625</v>
      </c>
    </row>
    <row r="99" spans="1:18" x14ac:dyDescent="0.35">
      <c r="A99" t="str">
        <f t="shared" si="1"/>
        <v>ORD-2026-0098</v>
      </c>
      <c r="B99" s="2">
        <v>45851</v>
      </c>
      <c r="C99" t="str">
        <f>TEXT(tblSales[[#This Row],[Date]],"mmmm")</f>
        <v>July</v>
      </c>
      <c r="D99" t="s">
        <v>26</v>
      </c>
      <c r="E99" t="str">
        <f>_xlfn.XLOOKUP(tblSales[[#This Row],[Saleperson]],Lookup_Tables!$B$5:$B$16,Lookup_Tables!$C$5:$C$16)</f>
        <v>North</v>
      </c>
      <c r="F99" s="5" t="s">
        <v>74</v>
      </c>
      <c r="G99" t="str">
        <f>_xlfn.XLOOKUP(tblSales[[#This Row],[Customer]],Lookup_Tables!$I$5:$I$34,Lookup_Tables!$J$5:$J$34)</f>
        <v>Retail</v>
      </c>
      <c r="H99" t="str">
        <f>_xlfn.XLOOKUP(tblSales[[#This Row],[Product]],Lookup_Tables!$F$5:$F$23,Lookup_Tables!$E$5:$E$23,"")</f>
        <v>Furniture</v>
      </c>
      <c r="I99" t="s">
        <v>47</v>
      </c>
      <c r="J99" s="11">
        <v>6</v>
      </c>
      <c r="K99" s="1">
        <f>_xlfn.XLOOKUP(tblSales[[#This Row],[Product]],Lookup_Tables!$F$5:$F$23,Lookup_Tables!$G$5:$G$23,"")</f>
        <v>7500</v>
      </c>
      <c r="L99" s="12">
        <f>_xlfn.XLOOKUP(tblSales[[#This Row],[Customer Type]],Lookup_Tables!$B$19:$B$21,Lookup_Tables!$C$19:$C$21,0)</f>
        <v>0</v>
      </c>
      <c r="M99" t="s">
        <v>33</v>
      </c>
      <c r="N99" s="11" t="str">
        <f>"Q"&amp;ROUNDUP(MONTH(tblSales[[#This Row],[Date]])/3,0)</f>
        <v>Q3</v>
      </c>
      <c r="O99" s="11">
        <f>YEAR(tblSales[[#This Row],[Date]])</f>
        <v>2025</v>
      </c>
      <c r="P99" s="1">
        <f>tblSales[[#This Row],[Quantity]]*tblSales[[#This Row],[Unit Price]]</f>
        <v>45000</v>
      </c>
      <c r="Q99" s="1">
        <f>tblSales[[#This Row],[Gross Sales]]*tblSales[[#This Row],[Discount%]]</f>
        <v>0</v>
      </c>
      <c r="R99" s="1">
        <f>tblSales[[#This Row],[Gross Sales]]-tblSales[[#This Row],[Discount Amount]]</f>
        <v>45000</v>
      </c>
    </row>
    <row r="100" spans="1:18" x14ac:dyDescent="0.35">
      <c r="A100" t="str">
        <f t="shared" si="1"/>
        <v>ORD-2026-0099</v>
      </c>
      <c r="B100" s="2">
        <v>45851</v>
      </c>
      <c r="C100" t="str">
        <f>TEXT(tblSales[[#This Row],[Date]],"mmmm")</f>
        <v>July</v>
      </c>
      <c r="D100" t="s">
        <v>27</v>
      </c>
      <c r="E100" t="str">
        <f>_xlfn.XLOOKUP(tblSales[[#This Row],[Saleperson]],Lookup_Tables!$B$5:$B$16,Lookup_Tables!$C$5:$C$16)</f>
        <v>East</v>
      </c>
      <c r="F100" t="s">
        <v>63</v>
      </c>
      <c r="G100" t="str">
        <f>_xlfn.XLOOKUP(tblSales[[#This Row],[Customer]],Lookup_Tables!$I$5:$I$34,Lookup_Tables!$J$5:$J$34)</f>
        <v>Retail</v>
      </c>
      <c r="H100" t="str">
        <f>_xlfn.XLOOKUP(tblSales[[#This Row],[Product]],Lookup_Tables!$F$5:$F$23,Lookup_Tables!$E$5:$E$23,"")</f>
        <v>Electronics</v>
      </c>
      <c r="I100" t="s">
        <v>37</v>
      </c>
      <c r="J100" s="11">
        <v>4</v>
      </c>
      <c r="K100" s="1">
        <f>_xlfn.XLOOKUP(tblSales[[#This Row],[Product]],Lookup_Tables!$F$5:$F$23,Lookup_Tables!$G$5:$G$23,"")</f>
        <v>20000</v>
      </c>
      <c r="L100" s="12">
        <f>_xlfn.XLOOKUP(tblSales[[#This Row],[Customer Type]],Lookup_Tables!$B$19:$B$21,Lookup_Tables!$C$19:$C$21,0)</f>
        <v>0</v>
      </c>
      <c r="M100" t="s">
        <v>33</v>
      </c>
      <c r="N100" s="11" t="str">
        <f>"Q"&amp;ROUNDUP(MONTH(tblSales[[#This Row],[Date]])/3,0)</f>
        <v>Q3</v>
      </c>
      <c r="O100" s="11">
        <f>YEAR(tblSales[[#This Row],[Date]])</f>
        <v>2025</v>
      </c>
      <c r="P100" s="1">
        <f>tblSales[[#This Row],[Quantity]]*tblSales[[#This Row],[Unit Price]]</f>
        <v>80000</v>
      </c>
      <c r="Q100" s="1">
        <f>tblSales[[#This Row],[Gross Sales]]*tblSales[[#This Row],[Discount%]]</f>
        <v>0</v>
      </c>
      <c r="R100" s="1">
        <f>tblSales[[#This Row],[Gross Sales]]-tblSales[[#This Row],[Discount Amount]]</f>
        <v>80000</v>
      </c>
    </row>
    <row r="101" spans="1:18" x14ac:dyDescent="0.35">
      <c r="A101" t="str">
        <f t="shared" si="1"/>
        <v>ORD-2026-0100</v>
      </c>
      <c r="B101" s="2">
        <v>45853</v>
      </c>
      <c r="C101" t="str">
        <f>TEXT(tblSales[[#This Row],[Date]],"mmmm")</f>
        <v>July</v>
      </c>
      <c r="D101" t="s">
        <v>18</v>
      </c>
      <c r="E101" t="str">
        <f>_xlfn.XLOOKUP(tblSales[[#This Row],[Saleperson]],Lookup_Tables!$B$5:$B$16,Lookup_Tables!$C$5:$C$16)</f>
        <v>South</v>
      </c>
      <c r="F101" t="s">
        <v>65</v>
      </c>
      <c r="G101" t="str">
        <f>_xlfn.XLOOKUP(tblSales[[#This Row],[Customer]],Lookup_Tables!$I$5:$I$34,Lookup_Tables!$J$5:$J$34)</f>
        <v>Retail</v>
      </c>
      <c r="H101" t="str">
        <f>_xlfn.XLOOKUP(tblSales[[#This Row],[Product]],Lookup_Tables!$F$5:$F$23,Lookup_Tables!$E$5:$E$23,"")</f>
        <v>Office Supplies</v>
      </c>
      <c r="I101" t="s">
        <v>57</v>
      </c>
      <c r="J101" s="11">
        <v>6</v>
      </c>
      <c r="K101" s="1">
        <f>_xlfn.XLOOKUP(tblSales[[#This Row],[Product]],Lookup_Tables!$F$5:$F$23,Lookup_Tables!$G$5:$G$23,"")</f>
        <v>5000</v>
      </c>
      <c r="L101" s="12">
        <f>_xlfn.XLOOKUP(tblSales[[#This Row],[Customer Type]],Lookup_Tables!$B$19:$B$21,Lookup_Tables!$C$19:$C$21,0)</f>
        <v>0</v>
      </c>
      <c r="M101" t="s">
        <v>34</v>
      </c>
      <c r="N101" s="11" t="str">
        <f>"Q"&amp;ROUNDUP(MONTH(tblSales[[#This Row],[Date]])/3,0)</f>
        <v>Q3</v>
      </c>
      <c r="O101" s="11">
        <f>YEAR(tblSales[[#This Row],[Date]])</f>
        <v>2025</v>
      </c>
      <c r="P101" s="1">
        <f>tblSales[[#This Row],[Quantity]]*tblSales[[#This Row],[Unit Price]]</f>
        <v>30000</v>
      </c>
      <c r="Q101" s="1">
        <f>tblSales[[#This Row],[Gross Sales]]*tblSales[[#This Row],[Discount%]]</f>
        <v>0</v>
      </c>
      <c r="R101" s="1">
        <f>tblSales[[#This Row],[Gross Sales]]-tblSales[[#This Row],[Discount Amount]]</f>
        <v>30000</v>
      </c>
    </row>
    <row r="102" spans="1:18" x14ac:dyDescent="0.35">
      <c r="A102" t="str">
        <f t="shared" si="1"/>
        <v>ORD-2026-0101</v>
      </c>
      <c r="B102" s="2">
        <v>45855</v>
      </c>
      <c r="C102" t="str">
        <f>TEXT(tblSales[[#This Row],[Date]],"mmmm")</f>
        <v>July</v>
      </c>
      <c r="D102" t="s">
        <v>23</v>
      </c>
      <c r="E102" t="str">
        <f>_xlfn.XLOOKUP(tblSales[[#This Row],[Saleperson]],Lookup_Tables!$B$5:$B$16,Lookup_Tables!$C$5:$C$16)</f>
        <v>West</v>
      </c>
      <c r="F102" s="5" t="s">
        <v>69</v>
      </c>
      <c r="G102" t="str">
        <f>_xlfn.XLOOKUP(tblSales[[#This Row],[Customer]],Lookup_Tables!$I$5:$I$34,Lookup_Tables!$J$5:$J$34)</f>
        <v>Retail</v>
      </c>
      <c r="H102" t="str">
        <f>_xlfn.XLOOKUP(tblSales[[#This Row],[Product]],Lookup_Tables!$F$5:$F$23,Lookup_Tables!$E$5:$E$23,"")</f>
        <v>Furniture</v>
      </c>
      <c r="I102" t="s">
        <v>46</v>
      </c>
      <c r="J102" s="11">
        <v>2</v>
      </c>
      <c r="K102" s="1">
        <f>_xlfn.XLOOKUP(tblSales[[#This Row],[Product]],Lookup_Tables!$F$5:$F$23,Lookup_Tables!$G$5:$G$23,"")</f>
        <v>3100</v>
      </c>
      <c r="L102" s="6">
        <f>_xlfn.XLOOKUP(tblSales[[#This Row],[Customer Type]],Lookup_Tables!$B$19:$B$21,Lookup_Tables!$C$19:$C$21,0)</f>
        <v>0</v>
      </c>
      <c r="M102" t="s">
        <v>32</v>
      </c>
      <c r="N102" s="11" t="str">
        <f>"Q"&amp;ROUNDUP(MONTH(tblSales[[#This Row],[Date]])/3,0)</f>
        <v>Q3</v>
      </c>
      <c r="O102" s="11">
        <f>YEAR(tblSales[[#This Row],[Date]])</f>
        <v>2025</v>
      </c>
      <c r="P102" s="1">
        <f>tblSales[[#This Row],[Quantity]]*tblSales[[#This Row],[Unit Price]]</f>
        <v>6200</v>
      </c>
      <c r="Q102" s="1">
        <f>tblSales[[#This Row],[Gross Sales]]*tblSales[[#This Row],[Discount%]]</f>
        <v>0</v>
      </c>
      <c r="R102" s="1">
        <f>tblSales[[#This Row],[Gross Sales]]-tblSales[[#This Row],[Discount Amount]]</f>
        <v>6200</v>
      </c>
    </row>
    <row r="103" spans="1:18" x14ac:dyDescent="0.35">
      <c r="A103" t="str">
        <f t="shared" si="1"/>
        <v>ORD-2026-0102</v>
      </c>
      <c r="B103" s="2">
        <v>45855</v>
      </c>
      <c r="C103" t="str">
        <f>TEXT(tblSales[[#This Row],[Date]],"mmmm")</f>
        <v>July</v>
      </c>
      <c r="D103" t="s">
        <v>25</v>
      </c>
      <c r="E103" t="str">
        <f>_xlfn.XLOOKUP(tblSales[[#This Row],[Saleperson]],Lookup_Tables!$B$5:$B$16,Lookup_Tables!$C$5:$C$16)</f>
        <v>West</v>
      </c>
      <c r="F103" s="5" t="s">
        <v>70</v>
      </c>
      <c r="G103" t="str">
        <f>_xlfn.XLOOKUP(tblSales[[#This Row],[Customer]],Lookup_Tables!$I$5:$I$34,Lookup_Tables!$J$5:$J$34)</f>
        <v>Retail</v>
      </c>
      <c r="H103" t="str">
        <f>_xlfn.XLOOKUP(tblSales[[#This Row],[Product]],Lookup_Tables!$F$5:$F$23,Lookup_Tables!$E$5:$E$23,"")</f>
        <v>Office Supplies</v>
      </c>
      <c r="I103" t="s">
        <v>56</v>
      </c>
      <c r="J103" s="11">
        <v>2</v>
      </c>
      <c r="K103" s="1">
        <f>_xlfn.XLOOKUP(tblSales[[#This Row],[Product]],Lookup_Tables!$F$5:$F$23,Lookup_Tables!$G$5:$G$23,"")</f>
        <v>190</v>
      </c>
      <c r="L103" s="12">
        <f>_xlfn.XLOOKUP(tblSales[[#This Row],[Customer Type]],Lookup_Tables!$B$19:$B$21,Lookup_Tables!$C$19:$C$21,0)</f>
        <v>0</v>
      </c>
      <c r="M103" t="s">
        <v>34</v>
      </c>
      <c r="N103" s="11" t="str">
        <f>"Q"&amp;ROUNDUP(MONTH(tblSales[[#This Row],[Date]])/3,0)</f>
        <v>Q3</v>
      </c>
      <c r="O103" s="11">
        <f>YEAR(tblSales[[#This Row],[Date]])</f>
        <v>2025</v>
      </c>
      <c r="P103" s="1">
        <f>tblSales[[#This Row],[Quantity]]*tblSales[[#This Row],[Unit Price]]</f>
        <v>380</v>
      </c>
      <c r="Q103" s="1">
        <f>tblSales[[#This Row],[Gross Sales]]*tblSales[[#This Row],[Discount%]]</f>
        <v>0</v>
      </c>
      <c r="R103" s="1">
        <f>tblSales[[#This Row],[Gross Sales]]-tblSales[[#This Row],[Discount Amount]]</f>
        <v>380</v>
      </c>
    </row>
    <row r="104" spans="1:18" x14ac:dyDescent="0.35">
      <c r="A104" t="str">
        <f t="shared" si="1"/>
        <v>ORD-2026-0103</v>
      </c>
      <c r="B104" s="2">
        <v>45855</v>
      </c>
      <c r="C104" t="str">
        <f>TEXT(tblSales[[#This Row],[Date]],"mmmm")</f>
        <v>July</v>
      </c>
      <c r="D104" t="s">
        <v>17</v>
      </c>
      <c r="E104" t="str">
        <f>_xlfn.XLOOKUP(tblSales[[#This Row],[Saleperson]],Lookup_Tables!$B$5:$B$16,Lookup_Tables!$C$5:$C$16)</f>
        <v>North</v>
      </c>
      <c r="F104" t="s">
        <v>63</v>
      </c>
      <c r="G104" t="str">
        <f>_xlfn.XLOOKUP(tblSales[[#This Row],[Customer]],Lookup_Tables!$I$5:$I$34,Lookup_Tables!$J$5:$J$34)</f>
        <v>Retail</v>
      </c>
      <c r="H104" t="str">
        <f>_xlfn.XLOOKUP(tblSales[[#This Row],[Product]],Lookup_Tables!$F$5:$F$23,Lookup_Tables!$E$5:$E$23,"")</f>
        <v>Office Supplies</v>
      </c>
      <c r="I104" t="s">
        <v>50</v>
      </c>
      <c r="J104" s="11">
        <v>2</v>
      </c>
      <c r="K104" s="1">
        <f>_xlfn.XLOOKUP(tblSales[[#This Row],[Product]],Lookup_Tables!$F$5:$F$23,Lookup_Tables!$G$5:$G$23,"")</f>
        <v>180</v>
      </c>
      <c r="L104" s="12">
        <f>_xlfn.XLOOKUP(tblSales[[#This Row],[Customer Type]],Lookup_Tables!$B$19:$B$21,Lookup_Tables!$C$19:$C$21,0)</f>
        <v>0</v>
      </c>
      <c r="M104" t="s">
        <v>34</v>
      </c>
      <c r="N104" s="11" t="str">
        <f>"Q"&amp;ROUNDUP(MONTH(tblSales[[#This Row],[Date]])/3,0)</f>
        <v>Q3</v>
      </c>
      <c r="O104" s="11">
        <f>YEAR(tblSales[[#This Row],[Date]])</f>
        <v>2025</v>
      </c>
      <c r="P104" s="1">
        <f>tblSales[[#This Row],[Quantity]]*tblSales[[#This Row],[Unit Price]]</f>
        <v>360</v>
      </c>
      <c r="Q104" s="1">
        <f>tblSales[[#This Row],[Gross Sales]]*tblSales[[#This Row],[Discount%]]</f>
        <v>0</v>
      </c>
      <c r="R104" s="1">
        <f>tblSales[[#This Row],[Gross Sales]]-tblSales[[#This Row],[Discount Amount]]</f>
        <v>360</v>
      </c>
    </row>
    <row r="105" spans="1:18" x14ac:dyDescent="0.35">
      <c r="A105" t="str">
        <f t="shared" si="1"/>
        <v>ORD-2026-0104</v>
      </c>
      <c r="B105" s="2">
        <v>45857</v>
      </c>
      <c r="C105" t="str">
        <f>TEXT(tblSales[[#This Row],[Date]],"mmmm")</f>
        <v>July</v>
      </c>
      <c r="D105" t="s">
        <v>19</v>
      </c>
      <c r="E105" t="str">
        <f>_xlfn.XLOOKUP(tblSales[[#This Row],[Saleperson]],Lookup_Tables!$B$5:$B$16,Lookup_Tables!$C$5:$C$16)</f>
        <v>West</v>
      </c>
      <c r="F105" t="s">
        <v>65</v>
      </c>
      <c r="G105" t="str">
        <f>_xlfn.XLOOKUP(tblSales[[#This Row],[Customer]],Lookup_Tables!$I$5:$I$34,Lookup_Tables!$J$5:$J$34)</f>
        <v>Retail</v>
      </c>
      <c r="H105" t="str">
        <f>_xlfn.XLOOKUP(tblSales[[#This Row],[Product]],Lookup_Tables!$F$5:$F$23,Lookup_Tables!$E$5:$E$23,"")</f>
        <v>Office Supplies</v>
      </c>
      <c r="I105" t="s">
        <v>54</v>
      </c>
      <c r="J105" s="11">
        <v>10</v>
      </c>
      <c r="K105" s="1">
        <f>_xlfn.XLOOKUP(tblSales[[#This Row],[Product]],Lookup_Tables!$F$5:$F$23,Lookup_Tables!$G$5:$G$23,"")</f>
        <v>210</v>
      </c>
      <c r="L105" s="12">
        <f>_xlfn.XLOOKUP(tblSales[[#This Row],[Customer Type]],Lookup_Tables!$B$19:$B$21,Lookup_Tables!$C$19:$C$21,0)</f>
        <v>0</v>
      </c>
      <c r="M105" t="s">
        <v>33</v>
      </c>
      <c r="N105" s="11" t="str">
        <f>"Q"&amp;ROUNDUP(MONTH(tblSales[[#This Row],[Date]])/3,0)</f>
        <v>Q3</v>
      </c>
      <c r="O105" s="11">
        <f>YEAR(tblSales[[#This Row],[Date]])</f>
        <v>2025</v>
      </c>
      <c r="P105" s="1">
        <f>tblSales[[#This Row],[Quantity]]*tblSales[[#This Row],[Unit Price]]</f>
        <v>2100</v>
      </c>
      <c r="Q105" s="1">
        <f>tblSales[[#This Row],[Gross Sales]]*tblSales[[#This Row],[Discount%]]</f>
        <v>0</v>
      </c>
      <c r="R105" s="1">
        <f>tblSales[[#This Row],[Gross Sales]]-tblSales[[#This Row],[Discount Amount]]</f>
        <v>2100</v>
      </c>
    </row>
    <row r="106" spans="1:18" x14ac:dyDescent="0.35">
      <c r="A106" t="str">
        <f t="shared" si="1"/>
        <v>ORD-2026-0105</v>
      </c>
      <c r="B106" s="2">
        <v>45858</v>
      </c>
      <c r="C106" t="str">
        <f>TEXT(tblSales[[#This Row],[Date]],"mmmm")</f>
        <v>July</v>
      </c>
      <c r="D106" t="s">
        <v>26</v>
      </c>
      <c r="E106" t="str">
        <f>_xlfn.XLOOKUP(tblSales[[#This Row],[Saleperson]],Lookup_Tables!$B$5:$B$16,Lookup_Tables!$C$5:$C$16)</f>
        <v>North</v>
      </c>
      <c r="F106" s="5" t="s">
        <v>67</v>
      </c>
      <c r="G106" t="str">
        <f>_xlfn.XLOOKUP(tblSales[[#This Row],[Customer]],Lookup_Tables!$I$5:$I$34,Lookup_Tables!$J$5:$J$34)</f>
        <v>Government</v>
      </c>
      <c r="H106" t="str">
        <f>_xlfn.XLOOKUP(tblSales[[#This Row],[Product]],Lookup_Tables!$F$5:$F$23,Lookup_Tables!$E$5:$E$23,"")</f>
        <v>Office Supplies</v>
      </c>
      <c r="I106" t="s">
        <v>54</v>
      </c>
      <c r="J106" s="11">
        <v>9</v>
      </c>
      <c r="K106" s="1">
        <f>_xlfn.XLOOKUP(tblSales[[#This Row],[Product]],Lookup_Tables!$F$5:$F$23,Lookup_Tables!$G$5:$G$23,"")</f>
        <v>210</v>
      </c>
      <c r="L106" s="12">
        <f>_xlfn.XLOOKUP(tblSales[[#This Row],[Customer Type]],Lookup_Tables!$B$19:$B$21,Lookup_Tables!$C$19:$C$21,0)</f>
        <v>0.15</v>
      </c>
      <c r="M106" t="s">
        <v>33</v>
      </c>
      <c r="N106" s="11" t="str">
        <f>"Q"&amp;ROUNDUP(MONTH(tblSales[[#This Row],[Date]])/3,0)</f>
        <v>Q3</v>
      </c>
      <c r="O106" s="11">
        <f>YEAR(tblSales[[#This Row],[Date]])</f>
        <v>2025</v>
      </c>
      <c r="P106" s="1">
        <f>tblSales[[#This Row],[Quantity]]*tblSales[[#This Row],[Unit Price]]</f>
        <v>1890</v>
      </c>
      <c r="Q106" s="1">
        <f>tblSales[[#This Row],[Gross Sales]]*tblSales[[#This Row],[Discount%]]</f>
        <v>283.5</v>
      </c>
      <c r="R106" s="1">
        <f>tblSales[[#This Row],[Gross Sales]]-tblSales[[#This Row],[Discount Amount]]</f>
        <v>1606.5</v>
      </c>
    </row>
    <row r="107" spans="1:18" x14ac:dyDescent="0.35">
      <c r="A107" t="str">
        <f t="shared" si="1"/>
        <v>ORD-2026-0106</v>
      </c>
      <c r="B107" s="2">
        <v>45858</v>
      </c>
      <c r="C107" t="str">
        <f>TEXT(tblSales[[#This Row],[Date]],"mmmm")</f>
        <v>July</v>
      </c>
      <c r="D107" t="s">
        <v>28</v>
      </c>
      <c r="E107" t="str">
        <f>_xlfn.XLOOKUP(tblSales[[#This Row],[Saleperson]],Lookup_Tables!$B$5:$B$16,Lookup_Tables!$C$5:$C$16)</f>
        <v>South</v>
      </c>
      <c r="F107" s="5" t="s">
        <v>68</v>
      </c>
      <c r="G107" t="str">
        <f>_xlfn.XLOOKUP(tblSales[[#This Row],[Customer]],Lookup_Tables!$I$5:$I$34,Lookup_Tables!$J$5:$J$34)</f>
        <v>Government</v>
      </c>
      <c r="H107" t="str">
        <f>_xlfn.XLOOKUP(tblSales[[#This Row],[Product]],Lookup_Tables!$F$5:$F$23,Lookup_Tables!$E$5:$E$23,"")</f>
        <v>Furniture</v>
      </c>
      <c r="I107" t="s">
        <v>45</v>
      </c>
      <c r="J107" s="11">
        <v>1</v>
      </c>
      <c r="K107" s="1">
        <f>_xlfn.XLOOKUP(tblSales[[#This Row],[Product]],Lookup_Tables!$F$5:$F$23,Lookup_Tables!$G$5:$G$23,"")</f>
        <v>5200</v>
      </c>
      <c r="L107" s="12">
        <f>_xlfn.XLOOKUP(tblSales[[#This Row],[Customer Type]],Lookup_Tables!$B$19:$B$21,Lookup_Tables!$C$19:$C$21,0)</f>
        <v>0.15</v>
      </c>
      <c r="M107" t="s">
        <v>32</v>
      </c>
      <c r="N107" s="11" t="str">
        <f>"Q"&amp;ROUNDUP(MONTH(tblSales[[#This Row],[Date]])/3,0)</f>
        <v>Q3</v>
      </c>
      <c r="O107" s="11">
        <f>YEAR(tblSales[[#This Row],[Date]])</f>
        <v>2025</v>
      </c>
      <c r="P107" s="1">
        <f>tblSales[[#This Row],[Quantity]]*tblSales[[#This Row],[Unit Price]]</f>
        <v>5200</v>
      </c>
      <c r="Q107" s="1">
        <f>tblSales[[#This Row],[Gross Sales]]*tblSales[[#This Row],[Discount%]]</f>
        <v>780</v>
      </c>
      <c r="R107" s="1">
        <f>tblSales[[#This Row],[Gross Sales]]-tblSales[[#This Row],[Discount Amount]]</f>
        <v>4420</v>
      </c>
    </row>
    <row r="108" spans="1:18" x14ac:dyDescent="0.35">
      <c r="A108" t="str">
        <f t="shared" si="1"/>
        <v>ORD-2026-0107</v>
      </c>
      <c r="B108" s="2">
        <v>45860</v>
      </c>
      <c r="C108" t="str">
        <f>TEXT(tblSales[[#This Row],[Date]],"mmmm")</f>
        <v>July</v>
      </c>
      <c r="D108" t="s">
        <v>28</v>
      </c>
      <c r="E108" t="str">
        <f>_xlfn.XLOOKUP(tblSales[[#This Row],[Saleperson]],Lookup_Tables!$B$5:$B$16,Lookup_Tables!$C$5:$C$16)</f>
        <v>South</v>
      </c>
      <c r="F108" s="5" t="s">
        <v>76</v>
      </c>
      <c r="G108" t="str">
        <f>_xlfn.XLOOKUP(tblSales[[#This Row],[Customer]],Lookup_Tables!$I$5:$I$34,Lookup_Tables!$J$5:$J$34)</f>
        <v>Retail</v>
      </c>
      <c r="H108" t="str">
        <f>_xlfn.XLOOKUP(tblSales[[#This Row],[Product]],Lookup_Tables!$F$5:$F$23,Lookup_Tables!$E$5:$E$23,"")</f>
        <v>Furniture</v>
      </c>
      <c r="I108" t="s">
        <v>43</v>
      </c>
      <c r="J108" s="11">
        <v>7</v>
      </c>
      <c r="K108" s="1">
        <f>_xlfn.XLOOKUP(tblSales[[#This Row],[Product]],Lookup_Tables!$F$5:$F$23,Lookup_Tables!$G$5:$G$23,"")</f>
        <v>4200</v>
      </c>
      <c r="L108" s="12">
        <f>_xlfn.XLOOKUP(tblSales[[#This Row],[Customer Type]],Lookup_Tables!$B$19:$B$21,Lookup_Tables!$C$19:$C$21,0)</f>
        <v>0</v>
      </c>
      <c r="M108" t="s">
        <v>32</v>
      </c>
      <c r="N108" s="11" t="str">
        <f>"Q"&amp;ROUNDUP(MONTH(tblSales[[#This Row],[Date]])/3,0)</f>
        <v>Q3</v>
      </c>
      <c r="O108" s="11">
        <f>YEAR(tblSales[[#This Row],[Date]])</f>
        <v>2025</v>
      </c>
      <c r="P108" s="1">
        <f>tblSales[[#This Row],[Quantity]]*tblSales[[#This Row],[Unit Price]]</f>
        <v>29400</v>
      </c>
      <c r="Q108" s="1">
        <f>tblSales[[#This Row],[Gross Sales]]*tblSales[[#This Row],[Discount%]]</f>
        <v>0</v>
      </c>
      <c r="R108" s="1">
        <f>tblSales[[#This Row],[Gross Sales]]-tblSales[[#This Row],[Discount Amount]]</f>
        <v>29400</v>
      </c>
    </row>
    <row r="109" spans="1:18" x14ac:dyDescent="0.35">
      <c r="A109" t="str">
        <f t="shared" si="1"/>
        <v>ORD-2026-0108</v>
      </c>
      <c r="B109" s="2">
        <v>45862</v>
      </c>
      <c r="C109" t="str">
        <f>TEXT(tblSales[[#This Row],[Date]],"mmmm")</f>
        <v>July</v>
      </c>
      <c r="D109" t="s">
        <v>21</v>
      </c>
      <c r="E109" t="str">
        <f>_xlfn.XLOOKUP(tblSales[[#This Row],[Saleperson]],Lookup_Tables!$B$5:$B$16,Lookup_Tables!$C$5:$C$16)</f>
        <v>South</v>
      </c>
      <c r="F109" s="5" t="s">
        <v>64</v>
      </c>
      <c r="G109" t="str">
        <f>_xlfn.XLOOKUP(tblSales[[#This Row],[Customer]],Lookup_Tables!$I$5:$I$34,Lookup_Tables!$J$5:$J$34)</f>
        <v>Retail</v>
      </c>
      <c r="H109" t="str">
        <f>_xlfn.XLOOKUP(tblSales[[#This Row],[Product]],Lookup_Tables!$F$5:$F$23,Lookup_Tables!$E$5:$E$23,"")</f>
        <v>Furniture</v>
      </c>
      <c r="I109" t="s">
        <v>45</v>
      </c>
      <c r="J109" s="11">
        <v>8</v>
      </c>
      <c r="K109" s="1">
        <f>_xlfn.XLOOKUP(tblSales[[#This Row],[Product]],Lookup_Tables!$F$5:$F$23,Lookup_Tables!$G$5:$G$23,"")</f>
        <v>5200</v>
      </c>
      <c r="L109" s="12">
        <f>_xlfn.XLOOKUP(tblSales[[#This Row],[Customer Type]],Lookup_Tables!$B$19:$B$21,Lookup_Tables!$C$19:$C$21,0)</f>
        <v>0</v>
      </c>
      <c r="M109" t="s">
        <v>33</v>
      </c>
      <c r="N109" s="11" t="str">
        <f>"Q"&amp;ROUNDUP(MONTH(tblSales[[#This Row],[Date]])/3,0)</f>
        <v>Q3</v>
      </c>
      <c r="O109" s="11">
        <f>YEAR(tblSales[[#This Row],[Date]])</f>
        <v>2025</v>
      </c>
      <c r="P109" s="1">
        <f>tblSales[[#This Row],[Quantity]]*tblSales[[#This Row],[Unit Price]]</f>
        <v>41600</v>
      </c>
      <c r="Q109" s="1">
        <f>tblSales[[#This Row],[Gross Sales]]*tblSales[[#This Row],[Discount%]]</f>
        <v>0</v>
      </c>
      <c r="R109" s="1">
        <f>tblSales[[#This Row],[Gross Sales]]-tblSales[[#This Row],[Discount Amount]]</f>
        <v>41600</v>
      </c>
    </row>
    <row r="110" spans="1:18" x14ac:dyDescent="0.35">
      <c r="A110" t="str">
        <f t="shared" si="1"/>
        <v>ORD-2026-0109</v>
      </c>
      <c r="B110" s="2">
        <v>45864</v>
      </c>
      <c r="C110" t="str">
        <f>TEXT(tblSales[[#This Row],[Date]],"mmmm")</f>
        <v>July</v>
      </c>
      <c r="D110" t="s">
        <v>24</v>
      </c>
      <c r="E110" t="str">
        <f>_xlfn.XLOOKUP(tblSales[[#This Row],[Saleperson]],Lookup_Tables!$B$5:$B$16,Lookup_Tables!$C$5:$C$16)</f>
        <v>South</v>
      </c>
      <c r="F110" s="5" t="s">
        <v>71</v>
      </c>
      <c r="G110" t="str">
        <f>_xlfn.XLOOKUP(tblSales[[#This Row],[Customer]],Lookup_Tables!$I$5:$I$34,Lookup_Tables!$J$5:$J$34)</f>
        <v>Government</v>
      </c>
      <c r="H110" t="str">
        <f>_xlfn.XLOOKUP(tblSales[[#This Row],[Product]],Lookup_Tables!$F$5:$F$23,Lookup_Tables!$E$5:$E$23,"")</f>
        <v>Office Supplies</v>
      </c>
      <c r="I110" t="s">
        <v>52</v>
      </c>
      <c r="J110" s="11">
        <v>10</v>
      </c>
      <c r="K110" s="1">
        <f>_xlfn.XLOOKUP(tblSales[[#This Row],[Product]],Lookup_Tables!$F$5:$F$23,Lookup_Tables!$G$5:$G$23,"")</f>
        <v>60</v>
      </c>
      <c r="L110" s="12">
        <f>_xlfn.XLOOKUP(tblSales[[#This Row],[Customer Type]],Lookup_Tables!$B$19:$B$21,Lookup_Tables!$C$19:$C$21,0)</f>
        <v>0.15</v>
      </c>
      <c r="M110" t="s">
        <v>35</v>
      </c>
      <c r="N110" s="11" t="str">
        <f>"Q"&amp;ROUNDUP(MONTH(tblSales[[#This Row],[Date]])/3,0)</f>
        <v>Q3</v>
      </c>
      <c r="O110" s="11">
        <f>YEAR(tblSales[[#This Row],[Date]])</f>
        <v>2025</v>
      </c>
      <c r="P110" s="1">
        <f>tblSales[[#This Row],[Quantity]]*tblSales[[#This Row],[Unit Price]]</f>
        <v>600</v>
      </c>
      <c r="Q110" s="1">
        <f>tblSales[[#This Row],[Gross Sales]]*tblSales[[#This Row],[Discount%]]</f>
        <v>90</v>
      </c>
      <c r="R110" s="1">
        <f>tblSales[[#This Row],[Gross Sales]]-tblSales[[#This Row],[Discount Amount]]</f>
        <v>510</v>
      </c>
    </row>
    <row r="111" spans="1:18" x14ac:dyDescent="0.35">
      <c r="A111" t="str">
        <f t="shared" si="1"/>
        <v>ORD-2026-0110</v>
      </c>
      <c r="B111" s="2">
        <v>45864</v>
      </c>
      <c r="C111" t="str">
        <f>TEXT(tblSales[[#This Row],[Date]],"mmmm")</f>
        <v>July</v>
      </c>
      <c r="D111" t="s">
        <v>22</v>
      </c>
      <c r="E111" t="str">
        <f>_xlfn.XLOOKUP(tblSales[[#This Row],[Saleperson]],Lookup_Tables!$B$5:$B$16,Lookup_Tables!$C$5:$C$16)</f>
        <v>North</v>
      </c>
      <c r="F111" t="s">
        <v>65</v>
      </c>
      <c r="G111" t="str">
        <f>_xlfn.XLOOKUP(tblSales[[#This Row],[Customer]],Lookup_Tables!$I$5:$I$34,Lookup_Tables!$J$5:$J$34)</f>
        <v>Retail</v>
      </c>
      <c r="H111" t="str">
        <f>_xlfn.XLOOKUP(tblSales[[#This Row],[Product]],Lookup_Tables!$F$5:$F$23,Lookup_Tables!$E$5:$E$23,"")</f>
        <v>Electronics</v>
      </c>
      <c r="I111" t="s">
        <v>38</v>
      </c>
      <c r="J111" s="11">
        <v>5</v>
      </c>
      <c r="K111" s="1">
        <f>_xlfn.XLOOKUP(tblSales[[#This Row],[Product]],Lookup_Tables!$F$5:$F$23,Lookup_Tables!$G$5:$G$23,"")</f>
        <v>6000</v>
      </c>
      <c r="L111" s="12">
        <f>_xlfn.XLOOKUP(tblSales[[#This Row],[Customer Type]],Lookup_Tables!$B$19:$B$21,Lookup_Tables!$C$19:$C$21,0)</f>
        <v>0</v>
      </c>
      <c r="M111" t="s">
        <v>34</v>
      </c>
      <c r="N111" s="11" t="str">
        <f>"Q"&amp;ROUNDUP(MONTH(tblSales[[#This Row],[Date]])/3,0)</f>
        <v>Q3</v>
      </c>
      <c r="O111" s="11">
        <f>YEAR(tblSales[[#This Row],[Date]])</f>
        <v>2025</v>
      </c>
      <c r="P111" s="1">
        <f>tblSales[[#This Row],[Quantity]]*tblSales[[#This Row],[Unit Price]]</f>
        <v>30000</v>
      </c>
      <c r="Q111" s="1">
        <f>tblSales[[#This Row],[Gross Sales]]*tblSales[[#This Row],[Discount%]]</f>
        <v>0</v>
      </c>
      <c r="R111" s="1">
        <f>tblSales[[#This Row],[Gross Sales]]-tblSales[[#This Row],[Discount Amount]]</f>
        <v>30000</v>
      </c>
    </row>
    <row r="112" spans="1:18" x14ac:dyDescent="0.35">
      <c r="A112" t="str">
        <f t="shared" si="1"/>
        <v>ORD-2026-0111</v>
      </c>
      <c r="B112" s="2">
        <v>45864</v>
      </c>
      <c r="C112" t="str">
        <f>TEXT(tblSales[[#This Row],[Date]],"mmmm")</f>
        <v>July</v>
      </c>
      <c r="D112" t="s">
        <v>18</v>
      </c>
      <c r="E112" t="str">
        <f>_xlfn.XLOOKUP(tblSales[[#This Row],[Saleperson]],Lookup_Tables!$B$5:$B$16,Lookup_Tables!$C$5:$C$16)</f>
        <v>South</v>
      </c>
      <c r="F112" s="5" t="s">
        <v>89</v>
      </c>
      <c r="G112" t="str">
        <f>_xlfn.XLOOKUP(tblSales[[#This Row],[Customer]],Lookup_Tables!$I$5:$I$34,Lookup_Tables!$J$5:$J$34)</f>
        <v>Retail</v>
      </c>
      <c r="H112" t="str">
        <f>_xlfn.XLOOKUP(tblSales[[#This Row],[Product]],Lookup_Tables!$F$5:$F$23,Lookup_Tables!$E$5:$E$23,"")</f>
        <v>Electronics</v>
      </c>
      <c r="I112" t="s">
        <v>38</v>
      </c>
      <c r="J112" s="11">
        <v>2</v>
      </c>
      <c r="K112" s="1">
        <f>_xlfn.XLOOKUP(tblSales[[#This Row],[Product]],Lookup_Tables!$F$5:$F$23,Lookup_Tables!$G$5:$G$23,"")</f>
        <v>6000</v>
      </c>
      <c r="L112" s="12">
        <f>_xlfn.XLOOKUP(tblSales[[#This Row],[Customer Type]],Lookup_Tables!$B$19:$B$21,Lookup_Tables!$C$19:$C$21,0)</f>
        <v>0</v>
      </c>
      <c r="M112" t="s">
        <v>34</v>
      </c>
      <c r="N112" s="11" t="str">
        <f>"Q"&amp;ROUNDUP(MONTH(tblSales[[#This Row],[Date]])/3,0)</f>
        <v>Q3</v>
      </c>
      <c r="O112" s="11">
        <f>YEAR(tblSales[[#This Row],[Date]])</f>
        <v>2025</v>
      </c>
      <c r="P112" s="1">
        <f>tblSales[[#This Row],[Quantity]]*tblSales[[#This Row],[Unit Price]]</f>
        <v>12000</v>
      </c>
      <c r="Q112" s="1">
        <f>tblSales[[#This Row],[Gross Sales]]*tblSales[[#This Row],[Discount%]]</f>
        <v>0</v>
      </c>
      <c r="R112" s="1">
        <f>tblSales[[#This Row],[Gross Sales]]-tblSales[[#This Row],[Discount Amount]]</f>
        <v>12000</v>
      </c>
    </row>
    <row r="113" spans="1:18" x14ac:dyDescent="0.35">
      <c r="A113" t="str">
        <f t="shared" si="1"/>
        <v>ORD-2026-0112</v>
      </c>
      <c r="B113" s="2">
        <v>45870</v>
      </c>
      <c r="C113" t="str">
        <f>TEXT(tblSales[[#This Row],[Date]],"mmmm")</f>
        <v>August</v>
      </c>
      <c r="D113" t="s">
        <v>26</v>
      </c>
      <c r="E113" t="str">
        <f>_xlfn.XLOOKUP(tblSales[[#This Row],[Saleperson]],Lookup_Tables!$B$5:$B$16,Lookup_Tables!$C$5:$C$16)</f>
        <v>North</v>
      </c>
      <c r="F113" s="5" t="s">
        <v>74</v>
      </c>
      <c r="G113" t="str">
        <f>_xlfn.XLOOKUP(tblSales[[#This Row],[Customer]],Lookup_Tables!$I$5:$I$34,Lookup_Tables!$J$5:$J$34)</f>
        <v>Retail</v>
      </c>
      <c r="H113" t="str">
        <f>_xlfn.XLOOKUP(tblSales[[#This Row],[Product]],Lookup_Tables!$F$5:$F$23,Lookup_Tables!$E$5:$E$23,"")</f>
        <v>Office Supplies</v>
      </c>
      <c r="I113" t="s">
        <v>50</v>
      </c>
      <c r="J113" s="11">
        <v>5</v>
      </c>
      <c r="K113" s="1">
        <f>_xlfn.XLOOKUP(tblSales[[#This Row],[Product]],Lookup_Tables!$F$5:$F$23,Lookup_Tables!$G$5:$G$23,"")</f>
        <v>180</v>
      </c>
      <c r="L113" s="12">
        <f>_xlfn.XLOOKUP(tblSales[[#This Row],[Customer Type]],Lookup_Tables!$B$19:$B$21,Lookup_Tables!$C$19:$C$21,0)</f>
        <v>0</v>
      </c>
      <c r="M113" t="s">
        <v>35</v>
      </c>
      <c r="N113" s="11" t="str">
        <f>"Q"&amp;ROUNDUP(MONTH(tblSales[[#This Row],[Date]])/3,0)</f>
        <v>Q3</v>
      </c>
      <c r="O113" s="11">
        <f>YEAR(tblSales[[#This Row],[Date]])</f>
        <v>2025</v>
      </c>
      <c r="P113" s="1">
        <f>tblSales[[#This Row],[Quantity]]*tblSales[[#This Row],[Unit Price]]</f>
        <v>900</v>
      </c>
      <c r="Q113" s="1">
        <f>tblSales[[#This Row],[Gross Sales]]*tblSales[[#This Row],[Discount%]]</f>
        <v>0</v>
      </c>
      <c r="R113" s="1">
        <f>tblSales[[#This Row],[Gross Sales]]-tblSales[[#This Row],[Discount Amount]]</f>
        <v>900</v>
      </c>
    </row>
    <row r="114" spans="1:18" x14ac:dyDescent="0.35">
      <c r="A114" t="str">
        <f t="shared" si="1"/>
        <v>ORD-2026-0113</v>
      </c>
      <c r="B114" s="2">
        <v>45872</v>
      </c>
      <c r="C114" t="str">
        <f>TEXT(tblSales[[#This Row],[Date]],"mmmm")</f>
        <v>August</v>
      </c>
      <c r="D114" t="s">
        <v>20</v>
      </c>
      <c r="E114" t="str">
        <f>_xlfn.XLOOKUP(tblSales[[#This Row],[Saleperson]],Lookup_Tables!$B$5:$B$16,Lookup_Tables!$C$5:$C$16)</f>
        <v>East</v>
      </c>
      <c r="F114" t="s">
        <v>65</v>
      </c>
      <c r="G114" t="str">
        <f>_xlfn.XLOOKUP(tblSales[[#This Row],[Customer]],Lookup_Tables!$I$5:$I$34,Lookup_Tables!$J$5:$J$34)</f>
        <v>Retail</v>
      </c>
      <c r="H114" t="str">
        <f>_xlfn.XLOOKUP(tblSales[[#This Row],[Product]],Lookup_Tables!$F$5:$F$23,Lookup_Tables!$E$5:$E$23,"")</f>
        <v>Office Supplies</v>
      </c>
      <c r="I114" t="s">
        <v>49</v>
      </c>
      <c r="J114" s="11">
        <v>10</v>
      </c>
      <c r="K114" s="1">
        <f>_xlfn.XLOOKUP(tblSales[[#This Row],[Product]],Lookup_Tables!$F$5:$F$23,Lookup_Tables!$G$5:$G$23,"")</f>
        <v>120</v>
      </c>
      <c r="L114" s="12">
        <f>_xlfn.XLOOKUP(tblSales[[#This Row],[Customer Type]],Lookup_Tables!$B$19:$B$21,Lookup_Tables!$C$19:$C$21,0)</f>
        <v>0</v>
      </c>
      <c r="M114" t="s">
        <v>33</v>
      </c>
      <c r="N114" s="11" t="str">
        <f>"Q"&amp;ROUNDUP(MONTH(tblSales[[#This Row],[Date]])/3,0)</f>
        <v>Q3</v>
      </c>
      <c r="O114" s="11">
        <f>YEAR(tblSales[[#This Row],[Date]])</f>
        <v>2025</v>
      </c>
      <c r="P114" s="1">
        <f>tblSales[[#This Row],[Quantity]]*tblSales[[#This Row],[Unit Price]]</f>
        <v>1200</v>
      </c>
      <c r="Q114" s="1">
        <f>tblSales[[#This Row],[Gross Sales]]*tblSales[[#This Row],[Discount%]]</f>
        <v>0</v>
      </c>
      <c r="R114" s="1">
        <f>tblSales[[#This Row],[Gross Sales]]-tblSales[[#This Row],[Discount Amount]]</f>
        <v>1200</v>
      </c>
    </row>
    <row r="115" spans="1:18" x14ac:dyDescent="0.35">
      <c r="A115" t="str">
        <f t="shared" si="1"/>
        <v>ORD-2026-0114</v>
      </c>
      <c r="B115" s="2">
        <v>45873</v>
      </c>
      <c r="C115" t="str">
        <f>TEXT(tblSales[[#This Row],[Date]],"mmmm")</f>
        <v>August</v>
      </c>
      <c r="D115" t="s">
        <v>19</v>
      </c>
      <c r="E115" t="str">
        <f>_xlfn.XLOOKUP(tblSales[[#This Row],[Saleperson]],Lookup_Tables!$B$5:$B$16,Lookup_Tables!$C$5:$C$16)</f>
        <v>West</v>
      </c>
      <c r="F115" t="s">
        <v>63</v>
      </c>
      <c r="G115" t="str">
        <f>_xlfn.XLOOKUP(tblSales[[#This Row],[Customer]],Lookup_Tables!$I$5:$I$34,Lookup_Tables!$J$5:$J$34)</f>
        <v>Retail</v>
      </c>
      <c r="H115" t="str">
        <f>_xlfn.XLOOKUP(tblSales[[#This Row],[Product]],Lookup_Tables!$F$5:$F$23,Lookup_Tables!$E$5:$E$23,"")</f>
        <v>Electronics</v>
      </c>
      <c r="I115" t="s">
        <v>38</v>
      </c>
      <c r="J115" s="11">
        <v>2</v>
      </c>
      <c r="K115" s="1">
        <f>_xlfn.XLOOKUP(tblSales[[#This Row],[Product]],Lookup_Tables!$F$5:$F$23,Lookup_Tables!$G$5:$G$23,"")</f>
        <v>6000</v>
      </c>
      <c r="L115" s="12">
        <f>_xlfn.XLOOKUP(tblSales[[#This Row],[Customer Type]],Lookup_Tables!$B$19:$B$21,Lookup_Tables!$C$19:$C$21,0)</f>
        <v>0</v>
      </c>
      <c r="M115" t="s">
        <v>32</v>
      </c>
      <c r="N115" s="11" t="str">
        <f>"Q"&amp;ROUNDUP(MONTH(tblSales[[#This Row],[Date]])/3,0)</f>
        <v>Q3</v>
      </c>
      <c r="O115" s="11">
        <f>YEAR(tblSales[[#This Row],[Date]])</f>
        <v>2025</v>
      </c>
      <c r="P115" s="1">
        <f>tblSales[[#This Row],[Quantity]]*tblSales[[#This Row],[Unit Price]]</f>
        <v>12000</v>
      </c>
      <c r="Q115" s="1">
        <f>tblSales[[#This Row],[Gross Sales]]*tblSales[[#This Row],[Discount%]]</f>
        <v>0</v>
      </c>
      <c r="R115" s="1">
        <f>tblSales[[#This Row],[Gross Sales]]-tblSales[[#This Row],[Discount Amount]]</f>
        <v>12000</v>
      </c>
    </row>
    <row r="116" spans="1:18" x14ac:dyDescent="0.35">
      <c r="A116" t="str">
        <f t="shared" si="1"/>
        <v>ORD-2026-0115</v>
      </c>
      <c r="B116" s="2">
        <v>45875</v>
      </c>
      <c r="C116" t="str">
        <f>TEXT(tblSales[[#This Row],[Date]],"mmmm")</f>
        <v>August</v>
      </c>
      <c r="D116" t="s">
        <v>23</v>
      </c>
      <c r="E116" t="str">
        <f>_xlfn.XLOOKUP(tblSales[[#This Row],[Saleperson]],Lookup_Tables!$B$5:$B$16,Lookup_Tables!$C$5:$C$16)</f>
        <v>West</v>
      </c>
      <c r="F116" s="5" t="s">
        <v>64</v>
      </c>
      <c r="G116" t="str">
        <f>_xlfn.XLOOKUP(tblSales[[#This Row],[Customer]],Lookup_Tables!$I$5:$I$34,Lookup_Tables!$J$5:$J$34)</f>
        <v>Retail</v>
      </c>
      <c r="H116" t="str">
        <f>_xlfn.XLOOKUP(tblSales[[#This Row],[Product]],Lookup_Tables!$F$5:$F$23,Lookup_Tables!$E$5:$E$23,"")</f>
        <v>Electronics</v>
      </c>
      <c r="I116" t="s">
        <v>41</v>
      </c>
      <c r="J116" s="11">
        <v>3</v>
      </c>
      <c r="K116" s="1">
        <f>_xlfn.XLOOKUP(tblSales[[#This Row],[Product]],Lookup_Tables!$F$5:$F$23,Lookup_Tables!$G$5:$G$23,"")</f>
        <v>720</v>
      </c>
      <c r="L116" s="12">
        <f>_xlfn.XLOOKUP(tblSales[[#This Row],[Customer Type]],Lookup_Tables!$B$19:$B$21,Lookup_Tables!$C$19:$C$21,0)</f>
        <v>0</v>
      </c>
      <c r="M116" t="s">
        <v>34</v>
      </c>
      <c r="N116" s="11" t="str">
        <f>"Q"&amp;ROUNDUP(MONTH(tblSales[[#This Row],[Date]])/3,0)</f>
        <v>Q3</v>
      </c>
      <c r="O116" s="11">
        <f>YEAR(tblSales[[#This Row],[Date]])</f>
        <v>2025</v>
      </c>
      <c r="P116" s="1">
        <f>tblSales[[#This Row],[Quantity]]*tblSales[[#This Row],[Unit Price]]</f>
        <v>2160</v>
      </c>
      <c r="Q116" s="1">
        <f>tblSales[[#This Row],[Gross Sales]]*tblSales[[#This Row],[Discount%]]</f>
        <v>0</v>
      </c>
      <c r="R116" s="1">
        <f>tblSales[[#This Row],[Gross Sales]]-tblSales[[#This Row],[Discount Amount]]</f>
        <v>2160</v>
      </c>
    </row>
    <row r="117" spans="1:18" x14ac:dyDescent="0.35">
      <c r="A117" t="str">
        <f t="shared" si="1"/>
        <v>ORD-2026-0116</v>
      </c>
      <c r="B117" s="2">
        <v>45876</v>
      </c>
      <c r="C117" t="str">
        <f>TEXT(tblSales[[#This Row],[Date]],"mmmm")</f>
        <v>August</v>
      </c>
      <c r="D117" t="s">
        <v>27</v>
      </c>
      <c r="E117" t="str">
        <f>_xlfn.XLOOKUP(tblSales[[#This Row],[Saleperson]],Lookup_Tables!$B$5:$B$16,Lookup_Tables!$C$5:$C$16)</f>
        <v>East</v>
      </c>
      <c r="F117" s="5" t="s">
        <v>68</v>
      </c>
      <c r="G117" t="str">
        <f>_xlfn.XLOOKUP(tblSales[[#This Row],[Customer]],Lookup_Tables!$I$5:$I$34,Lookup_Tables!$J$5:$J$34)</f>
        <v>Government</v>
      </c>
      <c r="H117" t="str">
        <f>_xlfn.XLOOKUP(tblSales[[#This Row],[Product]],Lookup_Tables!$F$5:$F$23,Lookup_Tables!$E$5:$E$23,"")</f>
        <v>Electronics</v>
      </c>
      <c r="I117" t="s">
        <v>41</v>
      </c>
      <c r="J117" s="11">
        <v>6</v>
      </c>
      <c r="K117" s="1">
        <f>_xlfn.XLOOKUP(tblSales[[#This Row],[Product]],Lookup_Tables!$F$5:$F$23,Lookup_Tables!$G$5:$G$23,"")</f>
        <v>720</v>
      </c>
      <c r="L117" s="12">
        <f>_xlfn.XLOOKUP(tblSales[[#This Row],[Customer Type]],Lookup_Tables!$B$19:$B$21,Lookup_Tables!$C$19:$C$21,0)</f>
        <v>0.15</v>
      </c>
      <c r="M117" t="s">
        <v>32</v>
      </c>
      <c r="N117" s="11" t="str">
        <f>"Q"&amp;ROUNDUP(MONTH(tblSales[[#This Row],[Date]])/3,0)</f>
        <v>Q3</v>
      </c>
      <c r="O117" s="11">
        <f>YEAR(tblSales[[#This Row],[Date]])</f>
        <v>2025</v>
      </c>
      <c r="P117" s="1">
        <f>tblSales[[#This Row],[Quantity]]*tblSales[[#This Row],[Unit Price]]</f>
        <v>4320</v>
      </c>
      <c r="Q117" s="1">
        <f>tblSales[[#This Row],[Gross Sales]]*tblSales[[#This Row],[Discount%]]</f>
        <v>648</v>
      </c>
      <c r="R117" s="1">
        <f>tblSales[[#This Row],[Gross Sales]]-tblSales[[#This Row],[Discount Amount]]</f>
        <v>3672</v>
      </c>
    </row>
    <row r="118" spans="1:18" x14ac:dyDescent="0.35">
      <c r="A118" t="str">
        <f t="shared" si="1"/>
        <v>ORD-2026-0117</v>
      </c>
      <c r="B118" s="2">
        <v>45876</v>
      </c>
      <c r="C118" t="str">
        <f>TEXT(tblSales[[#This Row],[Date]],"mmmm")</f>
        <v>August</v>
      </c>
      <c r="D118" t="s">
        <v>25</v>
      </c>
      <c r="E118" t="str">
        <f>_xlfn.XLOOKUP(tblSales[[#This Row],[Saleperson]],Lookup_Tables!$B$5:$B$16,Lookup_Tables!$C$5:$C$16)</f>
        <v>West</v>
      </c>
      <c r="F118" t="s">
        <v>65</v>
      </c>
      <c r="G118" t="str">
        <f>_xlfn.XLOOKUP(tblSales[[#This Row],[Customer]],Lookup_Tables!$I$5:$I$34,Lookup_Tables!$J$5:$J$34)</f>
        <v>Retail</v>
      </c>
      <c r="H118" t="str">
        <f>_xlfn.XLOOKUP(tblSales[[#This Row],[Product]],Lookup_Tables!$F$5:$F$23,Lookup_Tables!$E$5:$E$23,"")</f>
        <v>Office Supplies</v>
      </c>
      <c r="I118" t="s">
        <v>52</v>
      </c>
      <c r="J118" s="11">
        <v>8</v>
      </c>
      <c r="K118" s="1">
        <f>_xlfn.XLOOKUP(tblSales[[#This Row],[Product]],Lookup_Tables!$F$5:$F$23,Lookup_Tables!$G$5:$G$23,"")</f>
        <v>60</v>
      </c>
      <c r="L118" s="12">
        <f>_xlfn.XLOOKUP(tblSales[[#This Row],[Customer Type]],Lookup_Tables!$B$19:$B$21,Lookup_Tables!$C$19:$C$21,0)</f>
        <v>0</v>
      </c>
      <c r="M118" t="s">
        <v>34</v>
      </c>
      <c r="N118" s="11" t="str">
        <f>"Q"&amp;ROUNDUP(MONTH(tblSales[[#This Row],[Date]])/3,0)</f>
        <v>Q3</v>
      </c>
      <c r="O118" s="11">
        <f>YEAR(tblSales[[#This Row],[Date]])</f>
        <v>2025</v>
      </c>
      <c r="P118" s="1">
        <f>tblSales[[#This Row],[Quantity]]*tblSales[[#This Row],[Unit Price]]</f>
        <v>480</v>
      </c>
      <c r="Q118" s="1">
        <f>tblSales[[#This Row],[Gross Sales]]*tblSales[[#This Row],[Discount%]]</f>
        <v>0</v>
      </c>
      <c r="R118" s="1">
        <f>tblSales[[#This Row],[Gross Sales]]-tblSales[[#This Row],[Discount Amount]]</f>
        <v>480</v>
      </c>
    </row>
    <row r="119" spans="1:18" x14ac:dyDescent="0.35">
      <c r="A119" t="str">
        <f t="shared" si="1"/>
        <v>ORD-2026-0118</v>
      </c>
      <c r="B119" s="2">
        <v>45878</v>
      </c>
      <c r="C119" t="str">
        <f>TEXT(tblSales[[#This Row],[Date]],"mmmm")</f>
        <v>August</v>
      </c>
      <c r="D119" t="s">
        <v>21</v>
      </c>
      <c r="E119" t="str">
        <f>_xlfn.XLOOKUP(tblSales[[#This Row],[Saleperson]],Lookup_Tables!$B$5:$B$16,Lookup_Tables!$C$5:$C$16)</f>
        <v>South</v>
      </c>
      <c r="F119" t="s">
        <v>63</v>
      </c>
      <c r="G119" t="str">
        <f>_xlfn.XLOOKUP(tblSales[[#This Row],[Customer]],Lookup_Tables!$I$5:$I$34,Lookup_Tables!$J$5:$J$34)</f>
        <v>Retail</v>
      </c>
      <c r="H119" t="str">
        <f>_xlfn.XLOOKUP(tblSales[[#This Row],[Product]],Lookup_Tables!$F$5:$F$23,Lookup_Tables!$E$5:$E$23,"")</f>
        <v>Electronics</v>
      </c>
      <c r="I119" t="s">
        <v>37</v>
      </c>
      <c r="J119" s="11">
        <v>2</v>
      </c>
      <c r="K119" s="1">
        <f>_xlfn.XLOOKUP(tblSales[[#This Row],[Product]],Lookup_Tables!$F$5:$F$23,Lookup_Tables!$G$5:$G$23,"")</f>
        <v>20000</v>
      </c>
      <c r="L119" s="12">
        <f>_xlfn.XLOOKUP(tblSales[[#This Row],[Customer Type]],Lookup_Tables!$B$19:$B$21,Lookup_Tables!$C$19:$C$21,0)</f>
        <v>0</v>
      </c>
      <c r="M119" t="s">
        <v>35</v>
      </c>
      <c r="N119" s="11" t="str">
        <f>"Q"&amp;ROUNDUP(MONTH(tblSales[[#This Row],[Date]])/3,0)</f>
        <v>Q3</v>
      </c>
      <c r="O119" s="11">
        <f>YEAR(tblSales[[#This Row],[Date]])</f>
        <v>2025</v>
      </c>
      <c r="P119" s="1">
        <f>tblSales[[#This Row],[Quantity]]*tblSales[[#This Row],[Unit Price]]</f>
        <v>40000</v>
      </c>
      <c r="Q119" s="1">
        <f>tblSales[[#This Row],[Gross Sales]]*tblSales[[#This Row],[Discount%]]</f>
        <v>0</v>
      </c>
      <c r="R119" s="1">
        <f>tblSales[[#This Row],[Gross Sales]]-tblSales[[#This Row],[Discount Amount]]</f>
        <v>40000</v>
      </c>
    </row>
    <row r="120" spans="1:18" x14ac:dyDescent="0.35">
      <c r="A120" t="str">
        <f t="shared" si="1"/>
        <v>ORD-2026-0119</v>
      </c>
      <c r="B120" s="2">
        <v>45880</v>
      </c>
      <c r="C120" t="str">
        <f>TEXT(tblSales[[#This Row],[Date]],"mmmm")</f>
        <v>August</v>
      </c>
      <c r="D120" t="s">
        <v>27</v>
      </c>
      <c r="E120" t="str">
        <f>_xlfn.XLOOKUP(tblSales[[#This Row],[Saleperson]],Lookup_Tables!$B$5:$B$16,Lookup_Tables!$C$5:$C$16)</f>
        <v>East</v>
      </c>
      <c r="F120" s="5" t="s">
        <v>73</v>
      </c>
      <c r="G120" t="str">
        <f>_xlfn.XLOOKUP(tblSales[[#This Row],[Customer]],Lookup_Tables!$I$5:$I$34,Lookup_Tables!$J$5:$J$34)</f>
        <v>Retail</v>
      </c>
      <c r="H120" t="str">
        <f>_xlfn.XLOOKUP(tblSales[[#This Row],[Product]],Lookup_Tables!$F$5:$F$23,Lookup_Tables!$E$5:$E$23,"")</f>
        <v>Office Supplies</v>
      </c>
      <c r="I120" t="s">
        <v>53</v>
      </c>
      <c r="J120" s="11">
        <v>2</v>
      </c>
      <c r="K120" s="1">
        <f>_xlfn.XLOOKUP(tblSales[[#This Row],[Product]],Lookup_Tables!$F$5:$F$23,Lookup_Tables!$G$5:$G$23,"")</f>
        <v>32</v>
      </c>
      <c r="L120" s="12">
        <f>_xlfn.XLOOKUP(tblSales[[#This Row],[Customer Type]],Lookup_Tables!$B$19:$B$21,Lookup_Tables!$C$19:$C$21,0)</f>
        <v>0</v>
      </c>
      <c r="M120" t="s">
        <v>34</v>
      </c>
      <c r="N120" s="11" t="str">
        <f>"Q"&amp;ROUNDUP(MONTH(tblSales[[#This Row],[Date]])/3,0)</f>
        <v>Q3</v>
      </c>
      <c r="O120" s="11">
        <f>YEAR(tblSales[[#This Row],[Date]])</f>
        <v>2025</v>
      </c>
      <c r="P120" s="1">
        <f>tblSales[[#This Row],[Quantity]]*tblSales[[#This Row],[Unit Price]]</f>
        <v>64</v>
      </c>
      <c r="Q120" s="1">
        <f>tblSales[[#This Row],[Gross Sales]]*tblSales[[#This Row],[Discount%]]</f>
        <v>0</v>
      </c>
      <c r="R120" s="1">
        <f>tblSales[[#This Row],[Gross Sales]]-tblSales[[#This Row],[Discount Amount]]</f>
        <v>64</v>
      </c>
    </row>
    <row r="121" spans="1:18" x14ac:dyDescent="0.35">
      <c r="A121" t="str">
        <f t="shared" si="1"/>
        <v>ORD-2026-0120</v>
      </c>
      <c r="B121" s="2">
        <v>45880</v>
      </c>
      <c r="C121" t="str">
        <f>TEXT(tblSales[[#This Row],[Date]],"mmmm")</f>
        <v>August</v>
      </c>
      <c r="D121" t="s">
        <v>28</v>
      </c>
      <c r="E121" t="str">
        <f>_xlfn.XLOOKUP(tblSales[[#This Row],[Saleperson]],Lookup_Tables!$B$5:$B$16,Lookup_Tables!$C$5:$C$16)</f>
        <v>South</v>
      </c>
      <c r="F121" s="5" t="s">
        <v>82</v>
      </c>
      <c r="G121" t="str">
        <f>_xlfn.XLOOKUP(tblSales[[#This Row],[Customer]],Lookup_Tables!$I$5:$I$34,Lookup_Tables!$J$5:$J$34)</f>
        <v>Retail</v>
      </c>
      <c r="H121" t="str">
        <f>_xlfn.XLOOKUP(tblSales[[#This Row],[Product]],Lookup_Tables!$F$5:$F$23,Lookup_Tables!$E$5:$E$23,"")</f>
        <v>Electronics</v>
      </c>
      <c r="I121" t="s">
        <v>38</v>
      </c>
      <c r="J121" s="11">
        <v>7</v>
      </c>
      <c r="K121" s="1">
        <f>_xlfn.XLOOKUP(tblSales[[#This Row],[Product]],Lookup_Tables!$F$5:$F$23,Lookup_Tables!$G$5:$G$23,"")</f>
        <v>6000</v>
      </c>
      <c r="L121" s="12">
        <f>_xlfn.XLOOKUP(tblSales[[#This Row],[Customer Type]],Lookup_Tables!$B$19:$B$21,Lookup_Tables!$C$19:$C$21,0)</f>
        <v>0</v>
      </c>
      <c r="M121" t="s">
        <v>35</v>
      </c>
      <c r="N121" s="11" t="str">
        <f>"Q"&amp;ROUNDUP(MONTH(tblSales[[#This Row],[Date]])/3,0)</f>
        <v>Q3</v>
      </c>
      <c r="O121" s="11">
        <f>YEAR(tblSales[[#This Row],[Date]])</f>
        <v>2025</v>
      </c>
      <c r="P121" s="1">
        <f>tblSales[[#This Row],[Quantity]]*tblSales[[#This Row],[Unit Price]]</f>
        <v>42000</v>
      </c>
      <c r="Q121" s="1">
        <f>tblSales[[#This Row],[Gross Sales]]*tblSales[[#This Row],[Discount%]]</f>
        <v>0</v>
      </c>
      <c r="R121" s="1">
        <f>tblSales[[#This Row],[Gross Sales]]-tblSales[[#This Row],[Discount Amount]]</f>
        <v>42000</v>
      </c>
    </row>
    <row r="122" spans="1:18" x14ac:dyDescent="0.35">
      <c r="A122" t="str">
        <f t="shared" si="1"/>
        <v>ORD-2026-0121</v>
      </c>
      <c r="B122" s="2">
        <v>45881</v>
      </c>
      <c r="C122" t="str">
        <f>TEXT(tblSales[[#This Row],[Date]],"mmmm")</f>
        <v>August</v>
      </c>
      <c r="D122" t="s">
        <v>22</v>
      </c>
      <c r="E122" t="str">
        <f>_xlfn.XLOOKUP(tblSales[[#This Row],[Saleperson]],Lookup_Tables!$B$5:$B$16,Lookup_Tables!$C$5:$C$16)</f>
        <v>North</v>
      </c>
      <c r="F122" s="5" t="s">
        <v>70</v>
      </c>
      <c r="G122" t="str">
        <f>_xlfn.XLOOKUP(tblSales[[#This Row],[Customer]],Lookup_Tables!$I$5:$I$34,Lookup_Tables!$J$5:$J$34)</f>
        <v>Retail</v>
      </c>
      <c r="H122" t="str">
        <f>_xlfn.XLOOKUP(tblSales[[#This Row],[Product]],Lookup_Tables!$F$5:$F$23,Lookup_Tables!$E$5:$E$23,"")</f>
        <v>Furniture</v>
      </c>
      <c r="I122" t="s">
        <v>46</v>
      </c>
      <c r="J122" s="11">
        <v>9</v>
      </c>
      <c r="K122" s="1">
        <f>_xlfn.XLOOKUP(tblSales[[#This Row],[Product]],Lookup_Tables!$F$5:$F$23,Lookup_Tables!$G$5:$G$23,"")</f>
        <v>3100</v>
      </c>
      <c r="L122" s="6">
        <f>_xlfn.XLOOKUP(tblSales[[#This Row],[Customer Type]],Lookup_Tables!$B$19:$B$21,Lookup_Tables!$C$19:$C$21,0)</f>
        <v>0</v>
      </c>
      <c r="M122" t="s">
        <v>33</v>
      </c>
      <c r="N122" s="11" t="str">
        <f>"Q"&amp;ROUNDUP(MONTH(tblSales[[#This Row],[Date]])/3,0)</f>
        <v>Q3</v>
      </c>
      <c r="O122" s="11">
        <f>YEAR(tblSales[[#This Row],[Date]])</f>
        <v>2025</v>
      </c>
      <c r="P122" s="1">
        <f>tblSales[[#This Row],[Quantity]]*tblSales[[#This Row],[Unit Price]]</f>
        <v>27900</v>
      </c>
      <c r="Q122" s="1">
        <f>tblSales[[#This Row],[Gross Sales]]*tblSales[[#This Row],[Discount%]]</f>
        <v>0</v>
      </c>
      <c r="R122" s="1">
        <f>tblSales[[#This Row],[Gross Sales]]-tblSales[[#This Row],[Discount Amount]]</f>
        <v>27900</v>
      </c>
    </row>
    <row r="123" spans="1:18" x14ac:dyDescent="0.35">
      <c r="A123" t="str">
        <f t="shared" si="1"/>
        <v>ORD-2026-0122</v>
      </c>
      <c r="B123" s="2">
        <v>45881</v>
      </c>
      <c r="C123" t="str">
        <f>TEXT(tblSales[[#This Row],[Date]],"mmmm")</f>
        <v>August</v>
      </c>
      <c r="D123" t="s">
        <v>17</v>
      </c>
      <c r="E123" t="str">
        <f>_xlfn.XLOOKUP(tblSales[[#This Row],[Saleperson]],Lookup_Tables!$B$5:$B$16,Lookup_Tables!$C$5:$C$16)</f>
        <v>North</v>
      </c>
      <c r="F123" t="s">
        <v>63</v>
      </c>
      <c r="G123" t="str">
        <f>_xlfn.XLOOKUP(tblSales[[#This Row],[Customer]],Lookup_Tables!$I$5:$I$34,Lookup_Tables!$J$5:$J$34)</f>
        <v>Retail</v>
      </c>
      <c r="H123" t="str">
        <f>_xlfn.XLOOKUP(tblSales[[#This Row],[Product]],Lookup_Tables!$F$5:$F$23,Lookup_Tables!$E$5:$E$23,"")</f>
        <v>Electronics</v>
      </c>
      <c r="I123" t="s">
        <v>41</v>
      </c>
      <c r="J123" s="11">
        <v>1</v>
      </c>
      <c r="K123" s="1">
        <f>_xlfn.XLOOKUP(tblSales[[#This Row],[Product]],Lookup_Tables!$F$5:$F$23,Lookup_Tables!$G$5:$G$23,"")</f>
        <v>720</v>
      </c>
      <c r="L123" s="12">
        <f>_xlfn.XLOOKUP(tblSales[[#This Row],[Customer Type]],Lookup_Tables!$B$19:$B$21,Lookup_Tables!$C$19:$C$21,0)</f>
        <v>0</v>
      </c>
      <c r="M123" t="s">
        <v>32</v>
      </c>
      <c r="N123" s="11" t="str">
        <f>"Q"&amp;ROUNDUP(MONTH(tblSales[[#This Row],[Date]])/3,0)</f>
        <v>Q3</v>
      </c>
      <c r="O123" s="11">
        <f>YEAR(tblSales[[#This Row],[Date]])</f>
        <v>2025</v>
      </c>
      <c r="P123" s="1">
        <f>tblSales[[#This Row],[Quantity]]*tblSales[[#This Row],[Unit Price]]</f>
        <v>720</v>
      </c>
      <c r="Q123" s="1">
        <f>tblSales[[#This Row],[Gross Sales]]*tblSales[[#This Row],[Discount%]]</f>
        <v>0</v>
      </c>
      <c r="R123" s="1">
        <f>tblSales[[#This Row],[Gross Sales]]-tblSales[[#This Row],[Discount Amount]]</f>
        <v>720</v>
      </c>
    </row>
    <row r="124" spans="1:18" x14ac:dyDescent="0.35">
      <c r="A124" t="str">
        <f t="shared" si="1"/>
        <v>ORD-2026-0123</v>
      </c>
      <c r="B124" s="2">
        <v>45883</v>
      </c>
      <c r="C124" t="str">
        <f>TEXT(tblSales[[#This Row],[Date]],"mmmm")</f>
        <v>August</v>
      </c>
      <c r="D124" t="s">
        <v>24</v>
      </c>
      <c r="E124" t="str">
        <f>_xlfn.XLOOKUP(tblSales[[#This Row],[Saleperson]],Lookup_Tables!$B$5:$B$16,Lookup_Tables!$C$5:$C$16)</f>
        <v>South</v>
      </c>
      <c r="F124" s="5" t="s">
        <v>84</v>
      </c>
      <c r="G124" t="str">
        <f>_xlfn.XLOOKUP(tblSales[[#This Row],[Customer]],Lookup_Tables!$I$5:$I$34,Lookup_Tables!$J$5:$J$34)</f>
        <v>Retail</v>
      </c>
      <c r="H124" t="str">
        <f>_xlfn.XLOOKUP(tblSales[[#This Row],[Product]],Lookup_Tables!$F$5:$F$23,Lookup_Tables!$E$5:$E$23,"")</f>
        <v>Electronics</v>
      </c>
      <c r="I124" t="s">
        <v>38</v>
      </c>
      <c r="J124" s="11">
        <v>8</v>
      </c>
      <c r="K124" s="1">
        <f>_xlfn.XLOOKUP(tblSales[[#This Row],[Product]],Lookup_Tables!$F$5:$F$23,Lookup_Tables!$G$5:$G$23,"")</f>
        <v>6000</v>
      </c>
      <c r="L124" s="12">
        <f>_xlfn.XLOOKUP(tblSales[[#This Row],[Customer Type]],Lookup_Tables!$B$19:$B$21,Lookup_Tables!$C$19:$C$21,0)</f>
        <v>0</v>
      </c>
      <c r="M124" t="s">
        <v>32</v>
      </c>
      <c r="N124" s="11" t="str">
        <f>"Q"&amp;ROUNDUP(MONTH(tblSales[[#This Row],[Date]])/3,0)</f>
        <v>Q3</v>
      </c>
      <c r="O124" s="11">
        <f>YEAR(tblSales[[#This Row],[Date]])</f>
        <v>2025</v>
      </c>
      <c r="P124" s="1">
        <f>tblSales[[#This Row],[Quantity]]*tblSales[[#This Row],[Unit Price]]</f>
        <v>48000</v>
      </c>
      <c r="Q124" s="1">
        <f>tblSales[[#This Row],[Gross Sales]]*tblSales[[#This Row],[Discount%]]</f>
        <v>0</v>
      </c>
      <c r="R124" s="1">
        <f>tblSales[[#This Row],[Gross Sales]]-tblSales[[#This Row],[Discount Amount]]</f>
        <v>48000</v>
      </c>
    </row>
    <row r="125" spans="1:18" x14ac:dyDescent="0.35">
      <c r="A125" t="str">
        <f t="shared" si="1"/>
        <v>ORD-2026-0124</v>
      </c>
      <c r="B125" s="2">
        <v>45885</v>
      </c>
      <c r="C125" t="str">
        <f>TEXT(tblSales[[#This Row],[Date]],"mmmm")</f>
        <v>August</v>
      </c>
      <c r="D125" t="s">
        <v>27</v>
      </c>
      <c r="E125" t="str">
        <f>_xlfn.XLOOKUP(tblSales[[#This Row],[Saleperson]],Lookup_Tables!$B$5:$B$16,Lookup_Tables!$C$5:$C$16)</f>
        <v>East</v>
      </c>
      <c r="F125" s="5" t="s">
        <v>68</v>
      </c>
      <c r="G125" t="str">
        <f>_xlfn.XLOOKUP(tblSales[[#This Row],[Customer]],Lookup_Tables!$I$5:$I$34,Lookup_Tables!$J$5:$J$34)</f>
        <v>Government</v>
      </c>
      <c r="H125" t="str">
        <f>_xlfn.XLOOKUP(tblSales[[#This Row],[Product]],Lookup_Tables!$F$5:$F$23,Lookup_Tables!$E$5:$E$23,"")</f>
        <v>Furniture</v>
      </c>
      <c r="I125" t="s">
        <v>43</v>
      </c>
      <c r="J125" s="11">
        <v>10</v>
      </c>
      <c r="K125" s="1">
        <f>_xlfn.XLOOKUP(tblSales[[#This Row],[Product]],Lookup_Tables!$F$5:$F$23,Lookup_Tables!$G$5:$G$23,"")</f>
        <v>4200</v>
      </c>
      <c r="L125" s="12">
        <f>_xlfn.XLOOKUP(tblSales[[#This Row],[Customer Type]],Lookup_Tables!$B$19:$B$21,Lookup_Tables!$C$19:$C$21,0)</f>
        <v>0.15</v>
      </c>
      <c r="M125" t="s">
        <v>32</v>
      </c>
      <c r="N125" s="11" t="str">
        <f>"Q"&amp;ROUNDUP(MONTH(tblSales[[#This Row],[Date]])/3,0)</f>
        <v>Q3</v>
      </c>
      <c r="O125" s="11">
        <f>YEAR(tblSales[[#This Row],[Date]])</f>
        <v>2025</v>
      </c>
      <c r="P125" s="1">
        <f>tblSales[[#This Row],[Quantity]]*tblSales[[#This Row],[Unit Price]]</f>
        <v>42000</v>
      </c>
      <c r="Q125" s="1">
        <f>tblSales[[#This Row],[Gross Sales]]*tblSales[[#This Row],[Discount%]]</f>
        <v>6300</v>
      </c>
      <c r="R125" s="1">
        <f>tblSales[[#This Row],[Gross Sales]]-tblSales[[#This Row],[Discount Amount]]</f>
        <v>35700</v>
      </c>
    </row>
    <row r="126" spans="1:18" x14ac:dyDescent="0.35">
      <c r="A126" t="str">
        <f t="shared" si="1"/>
        <v>ORD-2026-0125</v>
      </c>
      <c r="B126" s="2">
        <v>45887</v>
      </c>
      <c r="C126" t="str">
        <f>TEXT(tblSales[[#This Row],[Date]],"mmmm")</f>
        <v>August</v>
      </c>
      <c r="D126" t="s">
        <v>28</v>
      </c>
      <c r="E126" t="str">
        <f>_xlfn.XLOOKUP(tblSales[[#This Row],[Saleperson]],Lookup_Tables!$B$5:$B$16,Lookup_Tables!$C$5:$C$16)</f>
        <v>South</v>
      </c>
      <c r="F126" s="5" t="s">
        <v>67</v>
      </c>
      <c r="G126" t="str">
        <f>_xlfn.XLOOKUP(tblSales[[#This Row],[Customer]],Lookup_Tables!$I$5:$I$34,Lookup_Tables!$J$5:$J$34)</f>
        <v>Government</v>
      </c>
      <c r="H126" t="str">
        <f>_xlfn.XLOOKUP(tblSales[[#This Row],[Product]],Lookup_Tables!$F$5:$F$23,Lookup_Tables!$E$5:$E$23,"")</f>
        <v>Furniture</v>
      </c>
      <c r="I126" t="s">
        <v>44</v>
      </c>
      <c r="J126" s="11">
        <v>2</v>
      </c>
      <c r="K126" s="1">
        <f>_xlfn.XLOOKUP(tblSales[[#This Row],[Product]],Lookup_Tables!$F$5:$F$23,Lookup_Tables!$G$5:$G$23,"")</f>
        <v>6900</v>
      </c>
      <c r="L126" s="12">
        <f>_xlfn.XLOOKUP(tblSales[[#This Row],[Customer Type]],Lookup_Tables!$B$19:$B$21,Lookup_Tables!$C$19:$C$21,0)</f>
        <v>0.15</v>
      </c>
      <c r="M126" t="s">
        <v>32</v>
      </c>
      <c r="N126" s="11" t="str">
        <f>"Q"&amp;ROUNDUP(MONTH(tblSales[[#This Row],[Date]])/3,0)</f>
        <v>Q3</v>
      </c>
      <c r="O126" s="11">
        <f>YEAR(tblSales[[#This Row],[Date]])</f>
        <v>2025</v>
      </c>
      <c r="P126" s="1">
        <f>tblSales[[#This Row],[Quantity]]*tblSales[[#This Row],[Unit Price]]</f>
        <v>13800</v>
      </c>
      <c r="Q126" s="1">
        <f>tblSales[[#This Row],[Gross Sales]]*tblSales[[#This Row],[Discount%]]</f>
        <v>2070</v>
      </c>
      <c r="R126" s="1">
        <f>tblSales[[#This Row],[Gross Sales]]-tblSales[[#This Row],[Discount Amount]]</f>
        <v>11730</v>
      </c>
    </row>
    <row r="127" spans="1:18" x14ac:dyDescent="0.35">
      <c r="A127" t="str">
        <f t="shared" si="1"/>
        <v>ORD-2026-0126</v>
      </c>
      <c r="B127" s="2">
        <v>45887</v>
      </c>
      <c r="C127" t="str">
        <f>TEXT(tblSales[[#This Row],[Date]],"mmmm")</f>
        <v>August</v>
      </c>
      <c r="D127" t="s">
        <v>19</v>
      </c>
      <c r="E127" t="str">
        <f>_xlfn.XLOOKUP(tblSales[[#This Row],[Saleperson]],Lookup_Tables!$B$5:$B$16,Lookup_Tables!$C$5:$C$16)</f>
        <v>West</v>
      </c>
      <c r="F127" s="5" t="s">
        <v>77</v>
      </c>
      <c r="G127" t="str">
        <f>_xlfn.XLOOKUP(tblSales[[#This Row],[Customer]],Lookup_Tables!$I$5:$I$34,Lookup_Tables!$J$5:$J$34)</f>
        <v>Retail</v>
      </c>
      <c r="H127" t="str">
        <f>_xlfn.XLOOKUP(tblSales[[#This Row],[Product]],Lookup_Tables!$F$5:$F$23,Lookup_Tables!$E$5:$E$23,"")</f>
        <v>Furniture</v>
      </c>
      <c r="I127" t="s">
        <v>44</v>
      </c>
      <c r="J127" s="11">
        <v>10</v>
      </c>
      <c r="K127" s="1">
        <f>_xlfn.XLOOKUP(tblSales[[#This Row],[Product]],Lookup_Tables!$F$5:$F$23,Lookup_Tables!$G$5:$G$23,"")</f>
        <v>6900</v>
      </c>
      <c r="L127" s="12">
        <f>_xlfn.XLOOKUP(tblSales[[#This Row],[Customer Type]],Lookup_Tables!$B$19:$B$21,Lookup_Tables!$C$19:$C$21,0)</f>
        <v>0</v>
      </c>
      <c r="M127" t="s">
        <v>33</v>
      </c>
      <c r="N127" s="11" t="str">
        <f>"Q"&amp;ROUNDUP(MONTH(tblSales[[#This Row],[Date]])/3,0)</f>
        <v>Q3</v>
      </c>
      <c r="O127" s="11">
        <f>YEAR(tblSales[[#This Row],[Date]])</f>
        <v>2025</v>
      </c>
      <c r="P127" s="1">
        <f>tblSales[[#This Row],[Quantity]]*tblSales[[#This Row],[Unit Price]]</f>
        <v>69000</v>
      </c>
      <c r="Q127" s="1">
        <f>tblSales[[#This Row],[Gross Sales]]*tblSales[[#This Row],[Discount%]]</f>
        <v>0</v>
      </c>
      <c r="R127" s="1">
        <f>tblSales[[#This Row],[Gross Sales]]-tblSales[[#This Row],[Discount Amount]]</f>
        <v>69000</v>
      </c>
    </row>
    <row r="128" spans="1:18" x14ac:dyDescent="0.35">
      <c r="A128" t="str">
        <f t="shared" si="1"/>
        <v>ORD-2026-0127</v>
      </c>
      <c r="B128" s="2">
        <v>45888</v>
      </c>
      <c r="C128" t="str">
        <f>TEXT(tblSales[[#This Row],[Date]],"mmmm")</f>
        <v>August</v>
      </c>
      <c r="D128" t="s">
        <v>28</v>
      </c>
      <c r="E128" t="str">
        <f>_xlfn.XLOOKUP(tblSales[[#This Row],[Saleperson]],Lookup_Tables!$B$5:$B$16,Lookup_Tables!$C$5:$C$16)</f>
        <v>South</v>
      </c>
      <c r="F128" s="5" t="s">
        <v>69</v>
      </c>
      <c r="G128" t="str">
        <f>_xlfn.XLOOKUP(tblSales[[#This Row],[Customer]],Lookup_Tables!$I$5:$I$34,Lookup_Tables!$J$5:$J$34)</f>
        <v>Retail</v>
      </c>
      <c r="H128" t="str">
        <f>_xlfn.XLOOKUP(tblSales[[#This Row],[Product]],Lookup_Tables!$F$5:$F$23,Lookup_Tables!$E$5:$E$23,"")</f>
        <v>Office Supplies</v>
      </c>
      <c r="I128" t="s">
        <v>57</v>
      </c>
      <c r="J128" s="11">
        <v>7</v>
      </c>
      <c r="K128" s="1">
        <f>_xlfn.XLOOKUP(tblSales[[#This Row],[Product]],Lookup_Tables!$F$5:$F$23,Lookup_Tables!$G$5:$G$23,"")</f>
        <v>5000</v>
      </c>
      <c r="L128" s="12">
        <f>_xlfn.XLOOKUP(tblSales[[#This Row],[Customer Type]],Lookup_Tables!$B$19:$B$21,Lookup_Tables!$C$19:$C$21,0)</f>
        <v>0</v>
      </c>
      <c r="M128" t="s">
        <v>32</v>
      </c>
      <c r="N128" s="11" t="str">
        <f>"Q"&amp;ROUNDUP(MONTH(tblSales[[#This Row],[Date]])/3,0)</f>
        <v>Q3</v>
      </c>
      <c r="O128" s="11">
        <f>YEAR(tblSales[[#This Row],[Date]])</f>
        <v>2025</v>
      </c>
      <c r="P128" s="1">
        <f>tblSales[[#This Row],[Quantity]]*tblSales[[#This Row],[Unit Price]]</f>
        <v>35000</v>
      </c>
      <c r="Q128" s="1">
        <f>tblSales[[#This Row],[Gross Sales]]*tblSales[[#This Row],[Discount%]]</f>
        <v>0</v>
      </c>
      <c r="R128" s="1">
        <f>tblSales[[#This Row],[Gross Sales]]-tblSales[[#This Row],[Discount Amount]]</f>
        <v>35000</v>
      </c>
    </row>
    <row r="129" spans="1:18" x14ac:dyDescent="0.35">
      <c r="A129" t="str">
        <f t="shared" si="1"/>
        <v>ORD-2026-0128</v>
      </c>
      <c r="B129" s="2">
        <v>45901</v>
      </c>
      <c r="C129" t="str">
        <f>TEXT(tblSales[[#This Row],[Date]],"mmmm")</f>
        <v>September</v>
      </c>
      <c r="D129" t="s">
        <v>28</v>
      </c>
      <c r="E129" t="str">
        <f>_xlfn.XLOOKUP(tblSales[[#This Row],[Saleperson]],Lookup_Tables!$B$5:$B$16,Lookup_Tables!$C$5:$C$16)</f>
        <v>South</v>
      </c>
      <c r="F129" t="s">
        <v>63</v>
      </c>
      <c r="G129" t="str">
        <f>_xlfn.XLOOKUP(tblSales[[#This Row],[Customer]],Lookup_Tables!$I$5:$I$34,Lookup_Tables!$J$5:$J$34)</f>
        <v>Retail</v>
      </c>
      <c r="H129" t="str">
        <f>_xlfn.XLOOKUP(tblSales[[#This Row],[Product]],Lookup_Tables!$F$5:$F$23,Lookup_Tables!$E$5:$E$23,"")</f>
        <v>Office Supplies</v>
      </c>
      <c r="I129" t="s">
        <v>50</v>
      </c>
      <c r="J129" s="11">
        <v>2</v>
      </c>
      <c r="K129" s="1">
        <f>_xlfn.XLOOKUP(tblSales[[#This Row],[Product]],Lookup_Tables!$F$5:$F$23,Lookup_Tables!$G$5:$G$23,"")</f>
        <v>180</v>
      </c>
      <c r="L129" s="12">
        <f>_xlfn.XLOOKUP(tblSales[[#This Row],[Customer Type]],Lookup_Tables!$B$19:$B$21,Lookup_Tables!$C$19:$C$21,0)</f>
        <v>0</v>
      </c>
      <c r="M129" t="s">
        <v>34</v>
      </c>
      <c r="N129" s="11" t="str">
        <f>"Q"&amp;ROUNDUP(MONTH(tblSales[[#This Row],[Date]])/3,0)</f>
        <v>Q3</v>
      </c>
      <c r="O129" s="11">
        <f>YEAR(tblSales[[#This Row],[Date]])</f>
        <v>2025</v>
      </c>
      <c r="P129" s="1">
        <f>tblSales[[#This Row],[Quantity]]*tblSales[[#This Row],[Unit Price]]</f>
        <v>360</v>
      </c>
      <c r="Q129" s="1">
        <f>tblSales[[#This Row],[Gross Sales]]*tblSales[[#This Row],[Discount%]]</f>
        <v>0</v>
      </c>
      <c r="R129" s="1">
        <f>tblSales[[#This Row],[Gross Sales]]-tblSales[[#This Row],[Discount Amount]]</f>
        <v>360</v>
      </c>
    </row>
    <row r="130" spans="1:18" x14ac:dyDescent="0.35">
      <c r="A130" t="str">
        <f t="shared" ref="A130:A193" si="2">"ORD-2026-"&amp;TEXT(ROW()-1,"0000")</f>
        <v>ORD-2026-0129</v>
      </c>
      <c r="B130" s="2">
        <v>45901</v>
      </c>
      <c r="C130" t="str">
        <f>TEXT(tblSales[[#This Row],[Date]],"mmmm")</f>
        <v>September</v>
      </c>
      <c r="D130" t="s">
        <v>20</v>
      </c>
      <c r="E130" t="str">
        <f>_xlfn.XLOOKUP(tblSales[[#This Row],[Saleperson]],Lookup_Tables!$B$5:$B$16,Lookup_Tables!$C$5:$C$16)</f>
        <v>East</v>
      </c>
      <c r="F130" s="5" t="s">
        <v>76</v>
      </c>
      <c r="G130" t="str">
        <f>_xlfn.XLOOKUP(tblSales[[#This Row],[Customer]],Lookup_Tables!$I$5:$I$34,Lookup_Tables!$J$5:$J$34)</f>
        <v>Retail</v>
      </c>
      <c r="H130" t="str">
        <f>_xlfn.XLOOKUP(tblSales[[#This Row],[Product]],Lookup_Tables!$F$5:$F$23,Lookup_Tables!$E$5:$E$23,"")</f>
        <v>Office Supplies</v>
      </c>
      <c r="I130" t="s">
        <v>50</v>
      </c>
      <c r="J130" s="11">
        <v>7</v>
      </c>
      <c r="K130" s="1">
        <f>_xlfn.XLOOKUP(tblSales[[#This Row],[Product]],Lookup_Tables!$F$5:$F$23,Lookup_Tables!$G$5:$G$23,"")</f>
        <v>180</v>
      </c>
      <c r="L130" s="12">
        <f>_xlfn.XLOOKUP(tblSales[[#This Row],[Customer Type]],Lookup_Tables!$B$19:$B$21,Lookup_Tables!$C$19:$C$21,0)</f>
        <v>0</v>
      </c>
      <c r="M130" t="s">
        <v>32</v>
      </c>
      <c r="N130" s="11" t="str">
        <f>"Q"&amp;ROUNDUP(MONTH(tblSales[[#This Row],[Date]])/3,0)</f>
        <v>Q3</v>
      </c>
      <c r="O130" s="11">
        <f>YEAR(tblSales[[#This Row],[Date]])</f>
        <v>2025</v>
      </c>
      <c r="P130" s="1">
        <f>tblSales[[#This Row],[Quantity]]*tblSales[[#This Row],[Unit Price]]</f>
        <v>1260</v>
      </c>
      <c r="Q130" s="1">
        <f>tblSales[[#This Row],[Gross Sales]]*tblSales[[#This Row],[Discount%]]</f>
        <v>0</v>
      </c>
      <c r="R130" s="1">
        <f>tblSales[[#This Row],[Gross Sales]]-tblSales[[#This Row],[Discount Amount]]</f>
        <v>1260</v>
      </c>
    </row>
    <row r="131" spans="1:18" x14ac:dyDescent="0.35">
      <c r="A131" t="str">
        <f t="shared" si="2"/>
        <v>ORD-2026-0130</v>
      </c>
      <c r="B131" s="2">
        <v>45902</v>
      </c>
      <c r="C131" t="str">
        <f>TEXT(tblSales[[#This Row],[Date]],"mmmm")</f>
        <v>September</v>
      </c>
      <c r="D131" t="s">
        <v>21</v>
      </c>
      <c r="E131" t="str">
        <f>_xlfn.XLOOKUP(tblSales[[#This Row],[Saleperson]],Lookup_Tables!$B$5:$B$16,Lookup_Tables!$C$5:$C$16)</f>
        <v>South</v>
      </c>
      <c r="F131" s="5" t="s">
        <v>70</v>
      </c>
      <c r="G131" t="str">
        <f>_xlfn.XLOOKUP(tblSales[[#This Row],[Customer]],Lookup_Tables!$I$5:$I$34,Lookup_Tables!$J$5:$J$34)</f>
        <v>Retail</v>
      </c>
      <c r="H131" t="str">
        <f>_xlfn.XLOOKUP(tblSales[[#This Row],[Product]],Lookup_Tables!$F$5:$F$23,Lookup_Tables!$E$5:$E$23,"")</f>
        <v>Electronics</v>
      </c>
      <c r="I131" t="s">
        <v>39</v>
      </c>
      <c r="J131" s="11">
        <v>4</v>
      </c>
      <c r="K131" s="1">
        <f>_xlfn.XLOOKUP(tblSales[[#This Row],[Product]],Lookup_Tables!$F$5:$F$23,Lookup_Tables!$G$5:$G$23,"")</f>
        <v>9500</v>
      </c>
      <c r="L131" s="12">
        <f>_xlfn.XLOOKUP(tblSales[[#This Row],[Customer Type]],Lookup_Tables!$B$19:$B$21,Lookup_Tables!$C$19:$C$21,0)</f>
        <v>0</v>
      </c>
      <c r="M131" t="s">
        <v>33</v>
      </c>
      <c r="N131" s="11" t="str">
        <f>"Q"&amp;ROUNDUP(MONTH(tblSales[[#This Row],[Date]])/3,0)</f>
        <v>Q3</v>
      </c>
      <c r="O131" s="11">
        <f>YEAR(tblSales[[#This Row],[Date]])</f>
        <v>2025</v>
      </c>
      <c r="P131" s="1">
        <f>tblSales[[#This Row],[Quantity]]*tblSales[[#This Row],[Unit Price]]</f>
        <v>38000</v>
      </c>
      <c r="Q131" s="1">
        <f>tblSales[[#This Row],[Gross Sales]]*tblSales[[#This Row],[Discount%]]</f>
        <v>0</v>
      </c>
      <c r="R131" s="1">
        <f>tblSales[[#This Row],[Gross Sales]]-tblSales[[#This Row],[Discount Amount]]</f>
        <v>38000</v>
      </c>
    </row>
    <row r="132" spans="1:18" x14ac:dyDescent="0.35">
      <c r="A132" t="str">
        <f t="shared" si="2"/>
        <v>ORD-2026-0131</v>
      </c>
      <c r="B132" s="2">
        <v>45904</v>
      </c>
      <c r="C132" t="str">
        <f>TEXT(tblSales[[#This Row],[Date]],"mmmm")</f>
        <v>September</v>
      </c>
      <c r="D132" t="s">
        <v>25</v>
      </c>
      <c r="E132" t="str">
        <f>_xlfn.XLOOKUP(tblSales[[#This Row],[Saleperson]],Lookup_Tables!$B$5:$B$16,Lookup_Tables!$C$5:$C$16)</f>
        <v>West</v>
      </c>
      <c r="F132" t="s">
        <v>69</v>
      </c>
      <c r="G132" t="str">
        <f>_xlfn.XLOOKUP(tblSales[[#This Row],[Customer]],Lookup_Tables!$I$5:$I$34,Lookup_Tables!$J$5:$J$34)</f>
        <v>Retail</v>
      </c>
      <c r="H132" t="str">
        <f>_xlfn.XLOOKUP(tblSales[[#This Row],[Product]],Lookup_Tables!$F$5:$F$23,Lookup_Tables!$E$5:$E$23,"")</f>
        <v>Electronics</v>
      </c>
      <c r="I132" t="s">
        <v>38</v>
      </c>
      <c r="J132" s="11">
        <v>1</v>
      </c>
      <c r="K132" s="1">
        <f>_xlfn.XLOOKUP(tblSales[[#This Row],[Product]],Lookup_Tables!$F$5:$F$23,Lookup_Tables!$G$5:$G$23,"")</f>
        <v>6000</v>
      </c>
      <c r="L132" s="12">
        <f>_xlfn.XLOOKUP(tblSales[[#This Row],[Customer Type]],Lookup_Tables!$B$19:$B$21,Lookup_Tables!$C$19:$C$21,0)</f>
        <v>0</v>
      </c>
      <c r="M132" t="s">
        <v>35</v>
      </c>
      <c r="N132" s="11" t="str">
        <f>"Q"&amp;ROUNDUP(MONTH(tblSales[[#This Row],[Date]])/3,0)</f>
        <v>Q3</v>
      </c>
      <c r="O132" s="11">
        <f>YEAR(tblSales[[#This Row],[Date]])</f>
        <v>2025</v>
      </c>
      <c r="P132" s="1">
        <f>tblSales[[#This Row],[Quantity]]*tblSales[[#This Row],[Unit Price]]</f>
        <v>6000</v>
      </c>
      <c r="Q132" s="1">
        <f>tblSales[[#This Row],[Gross Sales]]*tblSales[[#This Row],[Discount%]]</f>
        <v>0</v>
      </c>
      <c r="R132" s="1">
        <f>tblSales[[#This Row],[Gross Sales]]-tblSales[[#This Row],[Discount Amount]]</f>
        <v>6000</v>
      </c>
    </row>
    <row r="133" spans="1:18" x14ac:dyDescent="0.35">
      <c r="A133" t="str">
        <f t="shared" si="2"/>
        <v>ORD-2026-0132</v>
      </c>
      <c r="B133" s="2">
        <v>45904</v>
      </c>
      <c r="C133" t="str">
        <f>TEXT(tblSales[[#This Row],[Date]],"mmmm")</f>
        <v>September</v>
      </c>
      <c r="D133" t="s">
        <v>18</v>
      </c>
      <c r="E133" t="str">
        <f>_xlfn.XLOOKUP(tblSales[[#This Row],[Saleperson]],Lookup_Tables!$B$5:$B$16,Lookup_Tables!$C$5:$C$16)</f>
        <v>South</v>
      </c>
      <c r="F133" t="s">
        <v>65</v>
      </c>
      <c r="G133" t="str">
        <f>_xlfn.XLOOKUP(tblSales[[#This Row],[Customer]],Lookup_Tables!$I$5:$I$34,Lookup_Tables!$J$5:$J$34)</f>
        <v>Retail</v>
      </c>
      <c r="H133" t="str">
        <f>_xlfn.XLOOKUP(tblSales[[#This Row],[Product]],Lookup_Tables!$F$5:$F$23,Lookup_Tables!$E$5:$E$23,"")</f>
        <v>Electronics</v>
      </c>
      <c r="I133" t="s">
        <v>37</v>
      </c>
      <c r="J133" s="11">
        <v>3</v>
      </c>
      <c r="K133" s="1">
        <f>_xlfn.XLOOKUP(tblSales[[#This Row],[Product]],Lookup_Tables!$F$5:$F$23,Lookup_Tables!$G$5:$G$23,"")</f>
        <v>20000</v>
      </c>
      <c r="L133" s="12">
        <f>_xlfn.XLOOKUP(tblSales[[#This Row],[Customer Type]],Lookup_Tables!$B$19:$B$21,Lookup_Tables!$C$19:$C$21,0)</f>
        <v>0</v>
      </c>
      <c r="M133" t="s">
        <v>35</v>
      </c>
      <c r="N133" s="11" t="str">
        <f>"Q"&amp;ROUNDUP(MONTH(tblSales[[#This Row],[Date]])/3,0)</f>
        <v>Q3</v>
      </c>
      <c r="O133" s="11">
        <f>YEAR(tblSales[[#This Row],[Date]])</f>
        <v>2025</v>
      </c>
      <c r="P133" s="1">
        <f>tblSales[[#This Row],[Quantity]]*tblSales[[#This Row],[Unit Price]]</f>
        <v>60000</v>
      </c>
      <c r="Q133" s="1">
        <f>tblSales[[#This Row],[Gross Sales]]*tblSales[[#This Row],[Discount%]]</f>
        <v>0</v>
      </c>
      <c r="R133" s="1">
        <f>tblSales[[#This Row],[Gross Sales]]-tblSales[[#This Row],[Discount Amount]]</f>
        <v>60000</v>
      </c>
    </row>
    <row r="134" spans="1:18" x14ac:dyDescent="0.35">
      <c r="A134" t="str">
        <f t="shared" si="2"/>
        <v>ORD-2026-0133</v>
      </c>
      <c r="B134" s="2">
        <v>45906</v>
      </c>
      <c r="C134" t="str">
        <f>TEXT(tblSales[[#This Row],[Date]],"mmmm")</f>
        <v>September</v>
      </c>
      <c r="D134" t="s">
        <v>26</v>
      </c>
      <c r="E134" t="str">
        <f>_xlfn.XLOOKUP(tblSales[[#This Row],[Saleperson]],Lookup_Tables!$B$5:$B$16,Lookup_Tables!$C$5:$C$16)</f>
        <v>North</v>
      </c>
      <c r="F134" s="5" t="s">
        <v>71</v>
      </c>
      <c r="G134" t="str">
        <f>_xlfn.XLOOKUP(tblSales[[#This Row],[Customer]],Lookup_Tables!$I$5:$I$34,Lookup_Tables!$J$5:$J$34)</f>
        <v>Government</v>
      </c>
      <c r="H134" t="str">
        <f>_xlfn.XLOOKUP(tblSales[[#This Row],[Product]],Lookup_Tables!$F$5:$F$23,Lookup_Tables!$E$5:$E$23,"")</f>
        <v>Furniture</v>
      </c>
      <c r="I134" t="s">
        <v>43</v>
      </c>
      <c r="J134" s="11">
        <v>7</v>
      </c>
      <c r="K134" s="1">
        <f>_xlfn.XLOOKUP(tblSales[[#This Row],[Product]],Lookup_Tables!$F$5:$F$23,Lookup_Tables!$G$5:$G$23,"")</f>
        <v>4200</v>
      </c>
      <c r="L134" s="12">
        <f>_xlfn.XLOOKUP(tblSales[[#This Row],[Customer Type]],Lookup_Tables!$B$19:$B$21,Lookup_Tables!$C$19:$C$21,0)</f>
        <v>0.15</v>
      </c>
      <c r="M134" t="s">
        <v>34</v>
      </c>
      <c r="N134" s="11" t="str">
        <f>"Q"&amp;ROUNDUP(MONTH(tblSales[[#This Row],[Date]])/3,0)</f>
        <v>Q3</v>
      </c>
      <c r="O134" s="11">
        <f>YEAR(tblSales[[#This Row],[Date]])</f>
        <v>2025</v>
      </c>
      <c r="P134" s="1">
        <f>tblSales[[#This Row],[Quantity]]*tblSales[[#This Row],[Unit Price]]</f>
        <v>29400</v>
      </c>
      <c r="Q134" s="1">
        <f>tblSales[[#This Row],[Gross Sales]]*tblSales[[#This Row],[Discount%]]</f>
        <v>4410</v>
      </c>
      <c r="R134" s="1">
        <f>tblSales[[#This Row],[Gross Sales]]-tblSales[[#This Row],[Discount Amount]]</f>
        <v>24990</v>
      </c>
    </row>
    <row r="135" spans="1:18" x14ac:dyDescent="0.35">
      <c r="A135" t="str">
        <f t="shared" si="2"/>
        <v>ORD-2026-0134</v>
      </c>
      <c r="B135" s="2">
        <v>45909</v>
      </c>
      <c r="C135" t="str">
        <f>TEXT(tblSales[[#This Row],[Date]],"mmmm")</f>
        <v>September</v>
      </c>
      <c r="D135" t="s">
        <v>23</v>
      </c>
      <c r="E135" t="str">
        <f>_xlfn.XLOOKUP(tblSales[[#This Row],[Saleperson]],Lookup_Tables!$B$5:$B$16,Lookup_Tables!$C$5:$C$16)</f>
        <v>West</v>
      </c>
      <c r="F135" t="s">
        <v>63</v>
      </c>
      <c r="G135" t="str">
        <f>_xlfn.XLOOKUP(tblSales[[#This Row],[Customer]],Lookup_Tables!$I$5:$I$34,Lookup_Tables!$J$5:$J$34)</f>
        <v>Retail</v>
      </c>
      <c r="H135" t="str">
        <f>_xlfn.XLOOKUP(tblSales[[#This Row],[Product]],Lookup_Tables!$F$5:$F$23,Lookup_Tables!$E$5:$E$23,"")</f>
        <v>Electronics</v>
      </c>
      <c r="I135" t="s">
        <v>39</v>
      </c>
      <c r="J135" s="11">
        <v>1</v>
      </c>
      <c r="K135" s="1">
        <f>_xlfn.XLOOKUP(tblSales[[#This Row],[Product]],Lookup_Tables!$F$5:$F$23,Lookup_Tables!$G$5:$G$23,"")</f>
        <v>9500</v>
      </c>
      <c r="L135" s="12">
        <f>_xlfn.XLOOKUP(tblSales[[#This Row],[Customer Type]],Lookup_Tables!$B$19:$B$21,Lookup_Tables!$C$19:$C$21,0)</f>
        <v>0</v>
      </c>
      <c r="M135" t="s">
        <v>33</v>
      </c>
      <c r="N135" s="11" t="str">
        <f>"Q"&amp;ROUNDUP(MONTH(tblSales[[#This Row],[Date]])/3,0)</f>
        <v>Q3</v>
      </c>
      <c r="O135" s="11">
        <f>YEAR(tblSales[[#This Row],[Date]])</f>
        <v>2025</v>
      </c>
      <c r="P135" s="1">
        <f>tblSales[[#This Row],[Quantity]]*tblSales[[#This Row],[Unit Price]]</f>
        <v>9500</v>
      </c>
      <c r="Q135" s="1">
        <f>tblSales[[#This Row],[Gross Sales]]*tblSales[[#This Row],[Discount%]]</f>
        <v>0</v>
      </c>
      <c r="R135" s="1">
        <f>tblSales[[#This Row],[Gross Sales]]-tblSales[[#This Row],[Discount Amount]]</f>
        <v>9500</v>
      </c>
    </row>
    <row r="136" spans="1:18" x14ac:dyDescent="0.35">
      <c r="A136" t="str">
        <f t="shared" si="2"/>
        <v>ORD-2026-0135</v>
      </c>
      <c r="B136" s="2">
        <v>45912</v>
      </c>
      <c r="C136" t="str">
        <f>TEXT(tblSales[[#This Row],[Date]],"mmmm")</f>
        <v>September</v>
      </c>
      <c r="D136" t="s">
        <v>17</v>
      </c>
      <c r="E136" t="str">
        <f>_xlfn.XLOOKUP(tblSales[[#This Row],[Saleperson]],Lookup_Tables!$B$5:$B$16,Lookup_Tables!$C$5:$C$16)</f>
        <v>North</v>
      </c>
      <c r="F136" s="5" t="s">
        <v>78</v>
      </c>
      <c r="G136" t="str">
        <f>_xlfn.XLOOKUP(tblSales[[#This Row],[Customer]],Lookup_Tables!$I$5:$I$34,Lookup_Tables!$J$5:$J$34)</f>
        <v>Retail</v>
      </c>
      <c r="H136" t="str">
        <f>_xlfn.XLOOKUP(tblSales[[#This Row],[Product]],Lookup_Tables!$F$5:$F$23,Lookup_Tables!$E$5:$E$23,"")</f>
        <v>Office Supplies</v>
      </c>
      <c r="I136" t="s">
        <v>57</v>
      </c>
      <c r="J136" s="11">
        <v>7</v>
      </c>
      <c r="K136" s="1">
        <f>_xlfn.XLOOKUP(tblSales[[#This Row],[Product]],Lookup_Tables!$F$5:$F$23,Lookup_Tables!$G$5:$G$23,"")</f>
        <v>5000</v>
      </c>
      <c r="L136" s="12">
        <f>_xlfn.XLOOKUP(tblSales[[#This Row],[Customer Type]],Lookup_Tables!$B$19:$B$21,Lookup_Tables!$C$19:$C$21,0)</f>
        <v>0</v>
      </c>
      <c r="M136" t="s">
        <v>35</v>
      </c>
      <c r="N136" s="11" t="str">
        <f>"Q"&amp;ROUNDUP(MONTH(tblSales[[#This Row],[Date]])/3,0)</f>
        <v>Q3</v>
      </c>
      <c r="O136" s="11">
        <f>YEAR(tblSales[[#This Row],[Date]])</f>
        <v>2025</v>
      </c>
      <c r="P136" s="1">
        <f>tblSales[[#This Row],[Quantity]]*tblSales[[#This Row],[Unit Price]]</f>
        <v>35000</v>
      </c>
      <c r="Q136" s="1">
        <f>tblSales[[#This Row],[Gross Sales]]*tblSales[[#This Row],[Discount%]]</f>
        <v>0</v>
      </c>
      <c r="R136" s="1">
        <f>tblSales[[#This Row],[Gross Sales]]-tblSales[[#This Row],[Discount Amount]]</f>
        <v>35000</v>
      </c>
    </row>
    <row r="137" spans="1:18" x14ac:dyDescent="0.35">
      <c r="A137" t="str">
        <f t="shared" si="2"/>
        <v>ORD-2026-0136</v>
      </c>
      <c r="B137" s="2">
        <v>45915</v>
      </c>
      <c r="C137" t="str">
        <f>TEXT(tblSales[[#This Row],[Date]],"mmmm")</f>
        <v>September</v>
      </c>
      <c r="D137" t="s">
        <v>22</v>
      </c>
      <c r="E137" t="str">
        <f>_xlfn.XLOOKUP(tblSales[[#This Row],[Saleperson]],Lookup_Tables!$B$5:$B$16,Lookup_Tables!$C$5:$C$16)</f>
        <v>North</v>
      </c>
      <c r="F137" t="s">
        <v>65</v>
      </c>
      <c r="G137" t="str">
        <f>_xlfn.XLOOKUP(tblSales[[#This Row],[Customer]],Lookup_Tables!$I$5:$I$34,Lookup_Tables!$J$5:$J$34)</f>
        <v>Retail</v>
      </c>
      <c r="H137" t="str">
        <f>_xlfn.XLOOKUP(tblSales[[#This Row],[Product]],Lookup_Tables!$F$5:$F$23,Lookup_Tables!$E$5:$E$23,"")</f>
        <v>Furniture</v>
      </c>
      <c r="I137" t="s">
        <v>46</v>
      </c>
      <c r="J137" s="11">
        <v>9</v>
      </c>
      <c r="K137" s="1">
        <f>_xlfn.XLOOKUP(tblSales[[#This Row],[Product]],Lookup_Tables!$F$5:$F$23,Lookup_Tables!$G$5:$G$23,"")</f>
        <v>3100</v>
      </c>
      <c r="L137" s="12">
        <f>_xlfn.XLOOKUP(tblSales[[#This Row],[Customer Type]],Lookup_Tables!$B$19:$B$21,Lookup_Tables!$C$19:$C$21,0)</f>
        <v>0</v>
      </c>
      <c r="M137" t="s">
        <v>32</v>
      </c>
      <c r="N137" s="11" t="str">
        <f>"Q"&amp;ROUNDUP(MONTH(tblSales[[#This Row],[Date]])/3,0)</f>
        <v>Q3</v>
      </c>
      <c r="O137" s="11">
        <f>YEAR(tblSales[[#This Row],[Date]])</f>
        <v>2025</v>
      </c>
      <c r="P137" s="1">
        <f>tblSales[[#This Row],[Quantity]]*tblSales[[#This Row],[Unit Price]]</f>
        <v>27900</v>
      </c>
      <c r="Q137" s="1">
        <f>tblSales[[#This Row],[Gross Sales]]*tblSales[[#This Row],[Discount%]]</f>
        <v>0</v>
      </c>
      <c r="R137" s="1">
        <f>tblSales[[#This Row],[Gross Sales]]-tblSales[[#This Row],[Discount Amount]]</f>
        <v>27900</v>
      </c>
    </row>
    <row r="138" spans="1:18" x14ac:dyDescent="0.35">
      <c r="A138" t="str">
        <f t="shared" si="2"/>
        <v>ORD-2026-0137</v>
      </c>
      <c r="B138" s="2">
        <v>45917</v>
      </c>
      <c r="C138" t="str">
        <f>TEXT(tblSales[[#This Row],[Date]],"mmmm")</f>
        <v>September</v>
      </c>
      <c r="D138" t="s">
        <v>27</v>
      </c>
      <c r="E138" t="str">
        <f>_xlfn.XLOOKUP(tblSales[[#This Row],[Saleperson]],Lookup_Tables!$B$5:$B$16,Lookup_Tables!$C$5:$C$16)</f>
        <v>East</v>
      </c>
      <c r="F138" s="5" t="s">
        <v>89</v>
      </c>
      <c r="G138" t="str">
        <f>_xlfn.XLOOKUP(tblSales[[#This Row],[Customer]],Lookup_Tables!$I$5:$I$34,Lookup_Tables!$J$5:$J$34)</f>
        <v>Retail</v>
      </c>
      <c r="H138" t="str">
        <f>_xlfn.XLOOKUP(tblSales[[#This Row],[Product]],Lookup_Tables!$F$5:$F$23,Lookup_Tables!$E$5:$E$23,"")</f>
        <v>Office Supplies</v>
      </c>
      <c r="I138" t="s">
        <v>51</v>
      </c>
      <c r="J138" s="11">
        <v>9</v>
      </c>
      <c r="K138" s="1">
        <f>_xlfn.XLOOKUP(tblSales[[#This Row],[Product]],Lookup_Tables!$F$5:$F$23,Lookup_Tables!$G$5:$G$23,"")</f>
        <v>90</v>
      </c>
      <c r="L138" s="12">
        <f>_xlfn.XLOOKUP(tblSales[[#This Row],[Customer Type]],Lookup_Tables!$B$19:$B$21,Lookup_Tables!$C$19:$C$21,0)</f>
        <v>0</v>
      </c>
      <c r="M138" t="s">
        <v>32</v>
      </c>
      <c r="N138" s="11" t="str">
        <f>"Q"&amp;ROUNDUP(MONTH(tblSales[[#This Row],[Date]])/3,0)</f>
        <v>Q3</v>
      </c>
      <c r="O138" s="11">
        <f>YEAR(tblSales[[#This Row],[Date]])</f>
        <v>2025</v>
      </c>
      <c r="P138" s="1">
        <f>tblSales[[#This Row],[Quantity]]*tblSales[[#This Row],[Unit Price]]</f>
        <v>810</v>
      </c>
      <c r="Q138" s="1">
        <f>tblSales[[#This Row],[Gross Sales]]*tblSales[[#This Row],[Discount%]]</f>
        <v>0</v>
      </c>
      <c r="R138" s="1">
        <f>tblSales[[#This Row],[Gross Sales]]-tblSales[[#This Row],[Discount Amount]]</f>
        <v>810</v>
      </c>
    </row>
    <row r="139" spans="1:18" x14ac:dyDescent="0.35">
      <c r="A139" t="str">
        <f t="shared" si="2"/>
        <v>ORD-2026-0138</v>
      </c>
      <c r="B139" s="2">
        <v>45918</v>
      </c>
      <c r="C139" t="str">
        <f>TEXT(tblSales[[#This Row],[Date]],"mmmm")</f>
        <v>September</v>
      </c>
      <c r="D139" t="s">
        <v>19</v>
      </c>
      <c r="E139" t="str">
        <f>_xlfn.XLOOKUP(tblSales[[#This Row],[Saleperson]],Lookup_Tables!$B$5:$B$16,Lookup_Tables!$C$5:$C$16)</f>
        <v>West</v>
      </c>
      <c r="F139" s="5" t="s">
        <v>68</v>
      </c>
      <c r="G139" t="str">
        <f>_xlfn.XLOOKUP(tblSales[[#This Row],[Customer]],Lookup_Tables!$I$5:$I$34,Lookup_Tables!$J$5:$J$34)</f>
        <v>Government</v>
      </c>
      <c r="H139" t="str">
        <f>_xlfn.XLOOKUP(tblSales[[#This Row],[Product]],Lookup_Tables!$F$5:$F$23,Lookup_Tables!$E$5:$E$23,"")</f>
        <v>Office Supplies</v>
      </c>
      <c r="I139" t="s">
        <v>50</v>
      </c>
      <c r="J139" s="11">
        <v>8</v>
      </c>
      <c r="K139" s="1">
        <f>_xlfn.XLOOKUP(tblSales[[#This Row],[Product]],Lookup_Tables!$F$5:$F$23,Lookup_Tables!$G$5:$G$23,"")</f>
        <v>180</v>
      </c>
      <c r="L139" s="12">
        <f>_xlfn.XLOOKUP(tblSales[[#This Row],[Customer Type]],Lookup_Tables!$B$19:$B$21,Lookup_Tables!$C$19:$C$21,0)</f>
        <v>0.15</v>
      </c>
      <c r="M139" t="s">
        <v>35</v>
      </c>
      <c r="N139" s="11" t="str">
        <f>"Q"&amp;ROUNDUP(MONTH(tblSales[[#This Row],[Date]])/3,0)</f>
        <v>Q3</v>
      </c>
      <c r="O139" s="11">
        <f>YEAR(tblSales[[#This Row],[Date]])</f>
        <v>2025</v>
      </c>
      <c r="P139" s="1">
        <f>tblSales[[#This Row],[Quantity]]*tblSales[[#This Row],[Unit Price]]</f>
        <v>1440</v>
      </c>
      <c r="Q139" s="1">
        <f>tblSales[[#This Row],[Gross Sales]]*tblSales[[#This Row],[Discount%]]</f>
        <v>216</v>
      </c>
      <c r="R139" s="1">
        <f>tblSales[[#This Row],[Gross Sales]]-tblSales[[#This Row],[Discount Amount]]</f>
        <v>1224</v>
      </c>
    </row>
    <row r="140" spans="1:18" x14ac:dyDescent="0.35">
      <c r="A140" t="str">
        <f t="shared" si="2"/>
        <v>ORD-2026-0139</v>
      </c>
      <c r="B140" s="2">
        <v>45921</v>
      </c>
      <c r="C140" t="str">
        <f>TEXT(tblSales[[#This Row],[Date]],"mmmm")</f>
        <v>September</v>
      </c>
      <c r="D140" t="s">
        <v>28</v>
      </c>
      <c r="E140" t="str">
        <f>_xlfn.XLOOKUP(tblSales[[#This Row],[Saleperson]],Lookup_Tables!$B$5:$B$16,Lookup_Tables!$C$5:$C$16)</f>
        <v>South</v>
      </c>
      <c r="F140" s="5" t="s">
        <v>85</v>
      </c>
      <c r="G140" t="str">
        <f>_xlfn.XLOOKUP(tblSales[[#This Row],[Customer]],Lookup_Tables!$I$5:$I$34,Lookup_Tables!$J$5:$J$34)</f>
        <v>Retail</v>
      </c>
      <c r="H140" t="str">
        <f>_xlfn.XLOOKUP(tblSales[[#This Row],[Product]],Lookup_Tables!$F$5:$F$23,Lookup_Tables!$E$5:$E$23,"")</f>
        <v>Electronics</v>
      </c>
      <c r="I140" t="s">
        <v>39</v>
      </c>
      <c r="J140" s="11">
        <v>1</v>
      </c>
      <c r="K140" s="1">
        <f>_xlfn.XLOOKUP(tblSales[[#This Row],[Product]],Lookup_Tables!$F$5:$F$23,Lookup_Tables!$G$5:$G$23,"")</f>
        <v>9500</v>
      </c>
      <c r="L140" s="12">
        <f>_xlfn.XLOOKUP(tblSales[[#This Row],[Customer Type]],Lookup_Tables!$B$19:$B$21,Lookup_Tables!$C$19:$C$21,0)</f>
        <v>0</v>
      </c>
      <c r="M140" t="s">
        <v>35</v>
      </c>
      <c r="N140" s="11" t="str">
        <f>"Q"&amp;ROUNDUP(MONTH(tblSales[[#This Row],[Date]])/3,0)</f>
        <v>Q3</v>
      </c>
      <c r="O140" s="11">
        <f>YEAR(tblSales[[#This Row],[Date]])</f>
        <v>2025</v>
      </c>
      <c r="P140" s="1">
        <f>tblSales[[#This Row],[Quantity]]*tblSales[[#This Row],[Unit Price]]</f>
        <v>9500</v>
      </c>
      <c r="Q140" s="1">
        <f>tblSales[[#This Row],[Gross Sales]]*tblSales[[#This Row],[Discount%]]</f>
        <v>0</v>
      </c>
      <c r="R140" s="1">
        <f>tblSales[[#This Row],[Gross Sales]]-tblSales[[#This Row],[Discount Amount]]</f>
        <v>9500</v>
      </c>
    </row>
    <row r="141" spans="1:18" x14ac:dyDescent="0.35">
      <c r="A141" t="str">
        <f t="shared" si="2"/>
        <v>ORD-2026-0140</v>
      </c>
      <c r="B141" s="2">
        <v>45921</v>
      </c>
      <c r="C141" t="str">
        <f>TEXT(tblSales[[#This Row],[Date]],"mmmm")</f>
        <v>September</v>
      </c>
      <c r="D141" t="s">
        <v>28</v>
      </c>
      <c r="E141" t="str">
        <f>_xlfn.XLOOKUP(tblSales[[#This Row],[Saleperson]],Lookup_Tables!$B$5:$B$16,Lookup_Tables!$C$5:$C$16)</f>
        <v>South</v>
      </c>
      <c r="F141" s="5" t="s">
        <v>74</v>
      </c>
      <c r="G141" t="str">
        <f>_xlfn.XLOOKUP(tblSales[[#This Row],[Customer]],Lookup_Tables!$I$5:$I$34,Lookup_Tables!$J$5:$J$34)</f>
        <v>Retail</v>
      </c>
      <c r="H141" t="str">
        <f>_xlfn.XLOOKUP(tblSales[[#This Row],[Product]],Lookup_Tables!$F$5:$F$23,Lookup_Tables!$E$5:$E$23,"")</f>
        <v>Office Supplies</v>
      </c>
      <c r="I141" t="s">
        <v>55</v>
      </c>
      <c r="J141" s="11">
        <v>2</v>
      </c>
      <c r="K141" s="1">
        <f>_xlfn.XLOOKUP(tblSales[[#This Row],[Product]],Lookup_Tables!$F$5:$F$23,Lookup_Tables!$G$5:$G$23,"")</f>
        <v>75</v>
      </c>
      <c r="L141" s="12">
        <f>_xlfn.XLOOKUP(tblSales[[#This Row],[Customer Type]],Lookup_Tables!$B$19:$B$21,Lookup_Tables!$C$19:$C$21,0)</f>
        <v>0</v>
      </c>
      <c r="M141" t="s">
        <v>34</v>
      </c>
      <c r="N141" s="11" t="str">
        <f>"Q"&amp;ROUNDUP(MONTH(tblSales[[#This Row],[Date]])/3,0)</f>
        <v>Q3</v>
      </c>
      <c r="O141" s="11">
        <f>YEAR(tblSales[[#This Row],[Date]])</f>
        <v>2025</v>
      </c>
      <c r="P141" s="1">
        <f>tblSales[[#This Row],[Quantity]]*tblSales[[#This Row],[Unit Price]]</f>
        <v>150</v>
      </c>
      <c r="Q141" s="1">
        <f>tblSales[[#This Row],[Gross Sales]]*tblSales[[#This Row],[Discount%]]</f>
        <v>0</v>
      </c>
      <c r="R141" s="1">
        <f>tblSales[[#This Row],[Gross Sales]]-tblSales[[#This Row],[Discount Amount]]</f>
        <v>150</v>
      </c>
    </row>
    <row r="142" spans="1:18" x14ac:dyDescent="0.35">
      <c r="A142" t="str">
        <f t="shared" si="2"/>
        <v>ORD-2026-0141</v>
      </c>
      <c r="B142" s="2">
        <v>45924</v>
      </c>
      <c r="C142" t="str">
        <f>TEXT(tblSales[[#This Row],[Date]],"mmmm")</f>
        <v>September</v>
      </c>
      <c r="D142" t="s">
        <v>24</v>
      </c>
      <c r="E142" t="str">
        <f>_xlfn.XLOOKUP(tblSales[[#This Row],[Saleperson]],Lookup_Tables!$B$5:$B$16,Lookup_Tables!$C$5:$C$16)</f>
        <v>South</v>
      </c>
      <c r="F142" s="5" t="s">
        <v>68</v>
      </c>
      <c r="G142" t="str">
        <f>_xlfn.XLOOKUP(tblSales[[#This Row],[Customer]],Lookup_Tables!$I$5:$I$34,Lookup_Tables!$J$5:$J$34)</f>
        <v>Government</v>
      </c>
      <c r="H142" t="str">
        <f>_xlfn.XLOOKUP(tblSales[[#This Row],[Product]],Lookup_Tables!$F$5:$F$23,Lookup_Tables!$E$5:$E$23,"")</f>
        <v>Office Supplies</v>
      </c>
      <c r="I142" t="s">
        <v>52</v>
      </c>
      <c r="J142" s="11">
        <v>5</v>
      </c>
      <c r="K142" s="1">
        <f>_xlfn.XLOOKUP(tblSales[[#This Row],[Product]],Lookup_Tables!$F$5:$F$23,Lookup_Tables!$G$5:$G$23,"")</f>
        <v>60</v>
      </c>
      <c r="L142" s="6">
        <f>_xlfn.XLOOKUP(tblSales[[#This Row],[Customer Type]],Lookup_Tables!$B$19:$B$21,Lookup_Tables!$C$19:$C$21,0)</f>
        <v>0.15</v>
      </c>
      <c r="M142" t="s">
        <v>32</v>
      </c>
      <c r="N142" s="11" t="str">
        <f>"Q"&amp;ROUNDUP(MONTH(tblSales[[#This Row],[Date]])/3,0)</f>
        <v>Q3</v>
      </c>
      <c r="O142" s="11">
        <f>YEAR(tblSales[[#This Row],[Date]])</f>
        <v>2025</v>
      </c>
      <c r="P142" s="1">
        <f>tblSales[[#This Row],[Quantity]]*tblSales[[#This Row],[Unit Price]]</f>
        <v>300</v>
      </c>
      <c r="Q142" s="1">
        <f>tblSales[[#This Row],[Gross Sales]]*tblSales[[#This Row],[Discount%]]</f>
        <v>45</v>
      </c>
      <c r="R142" s="1">
        <f>tblSales[[#This Row],[Gross Sales]]-tblSales[[#This Row],[Discount Amount]]</f>
        <v>255</v>
      </c>
    </row>
    <row r="143" spans="1:18" x14ac:dyDescent="0.35">
      <c r="A143" t="str">
        <f t="shared" si="2"/>
        <v>ORD-2026-0142</v>
      </c>
      <c r="B143" s="2">
        <v>45925</v>
      </c>
      <c r="C143" t="str">
        <f>TEXT(tblSales[[#This Row],[Date]],"mmmm")</f>
        <v>September</v>
      </c>
      <c r="D143" t="s">
        <v>27</v>
      </c>
      <c r="E143" t="str">
        <f>_xlfn.XLOOKUP(tblSales[[#This Row],[Saleperson]],Lookup_Tables!$B$5:$B$16,Lookup_Tables!$C$5:$C$16)</f>
        <v>East</v>
      </c>
      <c r="F143" s="5" t="s">
        <v>73</v>
      </c>
      <c r="G143" t="str">
        <f>_xlfn.XLOOKUP(tblSales[[#This Row],[Customer]],Lookup_Tables!$I$5:$I$34,Lookup_Tables!$J$5:$J$34)</f>
        <v>Retail</v>
      </c>
      <c r="H143" t="str">
        <f>_xlfn.XLOOKUP(tblSales[[#This Row],[Product]],Lookup_Tables!$F$5:$F$23,Lookup_Tables!$E$5:$E$23,"")</f>
        <v>Electronics</v>
      </c>
      <c r="I143" t="s">
        <v>40</v>
      </c>
      <c r="J143" s="11">
        <v>5</v>
      </c>
      <c r="K143" s="1">
        <f>_xlfn.XLOOKUP(tblSales[[#This Row],[Product]],Lookup_Tables!$F$5:$F$23,Lookup_Tables!$G$5:$G$23,"")</f>
        <v>850</v>
      </c>
      <c r="L143" s="12">
        <f>_xlfn.XLOOKUP(tblSales[[#This Row],[Customer Type]],Lookup_Tables!$B$19:$B$21,Lookup_Tables!$C$19:$C$21,0)</f>
        <v>0</v>
      </c>
      <c r="M143" t="s">
        <v>35</v>
      </c>
      <c r="N143" s="11" t="str">
        <f>"Q"&amp;ROUNDUP(MONTH(tblSales[[#This Row],[Date]])/3,0)</f>
        <v>Q3</v>
      </c>
      <c r="O143" s="11">
        <f>YEAR(tblSales[[#This Row],[Date]])</f>
        <v>2025</v>
      </c>
      <c r="P143" s="1">
        <f>tblSales[[#This Row],[Quantity]]*tblSales[[#This Row],[Unit Price]]</f>
        <v>4250</v>
      </c>
      <c r="Q143" s="1">
        <f>tblSales[[#This Row],[Gross Sales]]*tblSales[[#This Row],[Discount%]]</f>
        <v>0</v>
      </c>
      <c r="R143" s="1">
        <f>tblSales[[#This Row],[Gross Sales]]-tblSales[[#This Row],[Discount Amount]]</f>
        <v>4250</v>
      </c>
    </row>
    <row r="144" spans="1:18" x14ac:dyDescent="0.35">
      <c r="A144" t="str">
        <f t="shared" si="2"/>
        <v>ORD-2026-0143</v>
      </c>
      <c r="B144" s="2">
        <v>45925</v>
      </c>
      <c r="C144" t="str">
        <f>TEXT(tblSales[[#This Row],[Date]],"mmmm")</f>
        <v>September</v>
      </c>
      <c r="D144" t="s">
        <v>28</v>
      </c>
      <c r="E144" t="str">
        <f>_xlfn.XLOOKUP(tblSales[[#This Row],[Saleperson]],Lookup_Tables!$B$5:$B$16,Lookup_Tables!$C$5:$C$16)</f>
        <v>South</v>
      </c>
      <c r="F144" s="5" t="s">
        <v>70</v>
      </c>
      <c r="G144" t="str">
        <f>_xlfn.XLOOKUP(tblSales[[#This Row],[Customer]],Lookup_Tables!$I$5:$I$34,Lookup_Tables!$J$5:$J$34)</f>
        <v>Retail</v>
      </c>
      <c r="H144" t="str">
        <f>_xlfn.XLOOKUP(tblSales[[#This Row],[Product]],Lookup_Tables!$F$5:$F$23,Lookup_Tables!$E$5:$E$23,"")</f>
        <v>Electronics</v>
      </c>
      <c r="I144" t="s">
        <v>41</v>
      </c>
      <c r="J144" s="11">
        <v>6</v>
      </c>
      <c r="K144" s="1">
        <f>_xlfn.XLOOKUP(tblSales[[#This Row],[Product]],Lookup_Tables!$F$5:$F$23,Lookup_Tables!$G$5:$G$23,"")</f>
        <v>720</v>
      </c>
      <c r="L144" s="12">
        <f>_xlfn.XLOOKUP(tblSales[[#This Row],[Customer Type]],Lookup_Tables!$B$19:$B$21,Lookup_Tables!$C$19:$C$21,0)</f>
        <v>0</v>
      </c>
      <c r="M144" t="s">
        <v>34</v>
      </c>
      <c r="N144" s="11" t="str">
        <f>"Q"&amp;ROUNDUP(MONTH(tblSales[[#This Row],[Date]])/3,0)</f>
        <v>Q3</v>
      </c>
      <c r="O144" s="11">
        <f>YEAR(tblSales[[#This Row],[Date]])</f>
        <v>2025</v>
      </c>
      <c r="P144" s="1">
        <f>tblSales[[#This Row],[Quantity]]*tblSales[[#This Row],[Unit Price]]</f>
        <v>4320</v>
      </c>
      <c r="Q144" s="1">
        <f>tblSales[[#This Row],[Gross Sales]]*tblSales[[#This Row],[Discount%]]</f>
        <v>0</v>
      </c>
      <c r="R144" s="1">
        <f>tblSales[[#This Row],[Gross Sales]]-tblSales[[#This Row],[Discount Amount]]</f>
        <v>4320</v>
      </c>
    </row>
    <row r="145" spans="1:18" x14ac:dyDescent="0.35">
      <c r="A145" t="str">
        <f t="shared" si="2"/>
        <v>ORD-2026-0144</v>
      </c>
      <c r="B145" s="2">
        <v>45927</v>
      </c>
      <c r="C145" t="str">
        <f>TEXT(tblSales[[#This Row],[Date]],"mmmm")</f>
        <v>September</v>
      </c>
      <c r="D145" t="s">
        <v>21</v>
      </c>
      <c r="E145" t="str">
        <f>_xlfn.XLOOKUP(tblSales[[#This Row],[Saleperson]],Lookup_Tables!$B$5:$B$16,Lookup_Tables!$C$5:$C$16)</f>
        <v>South</v>
      </c>
      <c r="F145" s="5" t="s">
        <v>71</v>
      </c>
      <c r="G145" t="str">
        <f>_xlfn.XLOOKUP(tblSales[[#This Row],[Customer]],Lookup_Tables!$I$5:$I$34,Lookup_Tables!$J$5:$J$34)</f>
        <v>Government</v>
      </c>
      <c r="H145" t="str">
        <f>_xlfn.XLOOKUP(tblSales[[#This Row],[Product]],Lookup_Tables!$F$5:$F$23,Lookup_Tables!$E$5:$E$23,"")</f>
        <v>Office Supplies</v>
      </c>
      <c r="I145" t="s">
        <v>57</v>
      </c>
      <c r="J145" s="11">
        <v>2</v>
      </c>
      <c r="K145" s="1">
        <f>_xlfn.XLOOKUP(tblSales[[#This Row],[Product]],Lookup_Tables!$F$5:$F$23,Lookup_Tables!$G$5:$G$23,"")</f>
        <v>5000</v>
      </c>
      <c r="L145" s="12">
        <f>_xlfn.XLOOKUP(tblSales[[#This Row],[Customer Type]],Lookup_Tables!$B$19:$B$21,Lookup_Tables!$C$19:$C$21,0)</f>
        <v>0.15</v>
      </c>
      <c r="M145" t="s">
        <v>34</v>
      </c>
      <c r="N145" s="11" t="str">
        <f>"Q"&amp;ROUNDUP(MONTH(tblSales[[#This Row],[Date]])/3,0)</f>
        <v>Q3</v>
      </c>
      <c r="O145" s="11">
        <f>YEAR(tblSales[[#This Row],[Date]])</f>
        <v>2025</v>
      </c>
      <c r="P145" s="1">
        <f>tblSales[[#This Row],[Quantity]]*tblSales[[#This Row],[Unit Price]]</f>
        <v>10000</v>
      </c>
      <c r="Q145" s="1">
        <f>tblSales[[#This Row],[Gross Sales]]*tblSales[[#This Row],[Discount%]]</f>
        <v>1500</v>
      </c>
      <c r="R145" s="1">
        <f>tblSales[[#This Row],[Gross Sales]]-tblSales[[#This Row],[Discount Amount]]</f>
        <v>8500</v>
      </c>
    </row>
    <row r="146" spans="1:18" x14ac:dyDescent="0.35">
      <c r="A146" t="str">
        <f t="shared" si="2"/>
        <v>ORD-2026-0145</v>
      </c>
      <c r="B146" s="2">
        <v>45928</v>
      </c>
      <c r="C146" t="str">
        <f>TEXT(tblSales[[#This Row],[Date]],"mmmm")</f>
        <v>September</v>
      </c>
      <c r="D146" t="s">
        <v>23</v>
      </c>
      <c r="E146" t="str">
        <f>_xlfn.XLOOKUP(tblSales[[#This Row],[Saleperson]],Lookup_Tables!$B$5:$B$16,Lookup_Tables!$C$5:$C$16)</f>
        <v>West</v>
      </c>
      <c r="F146" s="5" t="s">
        <v>68</v>
      </c>
      <c r="G146" t="str">
        <f>_xlfn.XLOOKUP(tblSales[[#This Row],[Customer]],Lookup_Tables!$I$5:$I$34,Lookup_Tables!$J$5:$J$34)</f>
        <v>Government</v>
      </c>
      <c r="H146" t="str">
        <f>_xlfn.XLOOKUP(tblSales[[#This Row],[Product]],Lookup_Tables!$F$5:$F$23,Lookup_Tables!$E$5:$E$23,"")</f>
        <v>Office Supplies</v>
      </c>
      <c r="I146" t="s">
        <v>53</v>
      </c>
      <c r="J146" s="11">
        <v>10</v>
      </c>
      <c r="K146" s="1">
        <f>_xlfn.XLOOKUP(tblSales[[#This Row],[Product]],Lookup_Tables!$F$5:$F$23,Lookup_Tables!$G$5:$G$23,"")</f>
        <v>32</v>
      </c>
      <c r="L146" s="12">
        <f>_xlfn.XLOOKUP(tblSales[[#This Row],[Customer Type]],Lookup_Tables!$B$19:$B$21,Lookup_Tables!$C$19:$C$21,0)</f>
        <v>0.15</v>
      </c>
      <c r="M146" t="s">
        <v>35</v>
      </c>
      <c r="N146" s="11" t="str">
        <f>"Q"&amp;ROUNDUP(MONTH(tblSales[[#This Row],[Date]])/3,0)</f>
        <v>Q3</v>
      </c>
      <c r="O146" s="11">
        <f>YEAR(tblSales[[#This Row],[Date]])</f>
        <v>2025</v>
      </c>
      <c r="P146" s="1">
        <f>tblSales[[#This Row],[Quantity]]*tblSales[[#This Row],[Unit Price]]</f>
        <v>320</v>
      </c>
      <c r="Q146" s="1">
        <f>tblSales[[#This Row],[Gross Sales]]*tblSales[[#This Row],[Discount%]]</f>
        <v>48</v>
      </c>
      <c r="R146" s="1">
        <f>tblSales[[#This Row],[Gross Sales]]-tblSales[[#This Row],[Discount Amount]]</f>
        <v>272</v>
      </c>
    </row>
    <row r="147" spans="1:18" x14ac:dyDescent="0.35">
      <c r="A147" t="str">
        <f t="shared" si="2"/>
        <v>ORD-2026-0146</v>
      </c>
      <c r="B147" s="2">
        <v>45931</v>
      </c>
      <c r="C147" t="str">
        <f>TEXT(tblSales[[#This Row],[Date]],"mmmm")</f>
        <v>October</v>
      </c>
      <c r="D147" t="s">
        <v>28</v>
      </c>
      <c r="E147" t="str">
        <f>_xlfn.XLOOKUP(tblSales[[#This Row],[Saleperson]],Lookup_Tables!$B$5:$B$16,Lookup_Tables!$C$5:$C$16)</f>
        <v>South</v>
      </c>
      <c r="F147" t="s">
        <v>65</v>
      </c>
      <c r="G147" t="str">
        <f>_xlfn.XLOOKUP(tblSales[[#This Row],[Customer]],Lookup_Tables!$I$5:$I$34,Lookup_Tables!$J$5:$J$34)</f>
        <v>Retail</v>
      </c>
      <c r="H147" t="str">
        <f>_xlfn.XLOOKUP(tblSales[[#This Row],[Product]],Lookup_Tables!$F$5:$F$23,Lookup_Tables!$E$5:$E$23,"")</f>
        <v>Electronics</v>
      </c>
      <c r="I147" t="s">
        <v>40</v>
      </c>
      <c r="J147" s="11">
        <v>9</v>
      </c>
      <c r="K147" s="1">
        <f>_xlfn.XLOOKUP(tblSales[[#This Row],[Product]],Lookup_Tables!$F$5:$F$23,Lookup_Tables!$G$5:$G$23,"")</f>
        <v>850</v>
      </c>
      <c r="L147" s="12">
        <f>_xlfn.XLOOKUP(tblSales[[#This Row],[Customer Type]],Lookup_Tables!$B$19:$B$21,Lookup_Tables!$C$19:$C$21,0)</f>
        <v>0</v>
      </c>
      <c r="M147" t="s">
        <v>33</v>
      </c>
      <c r="N147" s="11" t="str">
        <f>"Q"&amp;ROUNDUP(MONTH(tblSales[[#This Row],[Date]])/3,0)</f>
        <v>Q4</v>
      </c>
      <c r="O147" s="11">
        <f>YEAR(tblSales[[#This Row],[Date]])</f>
        <v>2025</v>
      </c>
      <c r="P147" s="1">
        <f>tblSales[[#This Row],[Quantity]]*tblSales[[#This Row],[Unit Price]]</f>
        <v>7650</v>
      </c>
      <c r="Q147" s="1">
        <f>tblSales[[#This Row],[Gross Sales]]*tblSales[[#This Row],[Discount%]]</f>
        <v>0</v>
      </c>
      <c r="R147" s="1">
        <f>tblSales[[#This Row],[Gross Sales]]-tblSales[[#This Row],[Discount Amount]]</f>
        <v>7650</v>
      </c>
    </row>
    <row r="148" spans="1:18" x14ac:dyDescent="0.35">
      <c r="A148" t="str">
        <f t="shared" si="2"/>
        <v>ORD-2026-0147</v>
      </c>
      <c r="B148" s="2">
        <v>45932</v>
      </c>
      <c r="C148" t="str">
        <f>TEXT(tblSales[[#This Row],[Date]],"mmmm")</f>
        <v>October</v>
      </c>
      <c r="D148" t="s">
        <v>17</v>
      </c>
      <c r="E148" t="str">
        <f>_xlfn.XLOOKUP(tblSales[[#This Row],[Saleperson]],Lookup_Tables!$B$5:$B$16,Lookup_Tables!$C$5:$C$16)</f>
        <v>North</v>
      </c>
      <c r="F148" t="s">
        <v>63</v>
      </c>
      <c r="G148" t="str">
        <f>_xlfn.XLOOKUP(tblSales[[#This Row],[Customer]],Lookup_Tables!$I$5:$I$34,Lookup_Tables!$J$5:$J$34)</f>
        <v>Retail</v>
      </c>
      <c r="H148" t="str">
        <f>_xlfn.XLOOKUP(tblSales[[#This Row],[Product]],Lookup_Tables!$F$5:$F$23,Lookup_Tables!$E$5:$E$23,"")</f>
        <v>Furniture</v>
      </c>
      <c r="I148" t="s">
        <v>47</v>
      </c>
      <c r="J148" s="11">
        <v>3</v>
      </c>
      <c r="K148" s="1">
        <f>_xlfn.XLOOKUP(tblSales[[#This Row],[Product]],Lookup_Tables!$F$5:$F$23,Lookup_Tables!$G$5:$G$23,"")</f>
        <v>7500</v>
      </c>
      <c r="L148" s="12">
        <f>_xlfn.XLOOKUP(tblSales[[#This Row],[Customer Type]],Lookup_Tables!$B$19:$B$21,Lookup_Tables!$C$19:$C$21,0)</f>
        <v>0</v>
      </c>
      <c r="M148" t="s">
        <v>35</v>
      </c>
      <c r="N148" s="11" t="str">
        <f>"Q"&amp;ROUNDUP(MONTH(tblSales[[#This Row],[Date]])/3,0)</f>
        <v>Q4</v>
      </c>
      <c r="O148" s="11">
        <f>YEAR(tblSales[[#This Row],[Date]])</f>
        <v>2025</v>
      </c>
      <c r="P148" s="1">
        <f>tblSales[[#This Row],[Quantity]]*tblSales[[#This Row],[Unit Price]]</f>
        <v>22500</v>
      </c>
      <c r="Q148" s="1">
        <f>tblSales[[#This Row],[Gross Sales]]*tblSales[[#This Row],[Discount%]]</f>
        <v>0</v>
      </c>
      <c r="R148" s="1">
        <f>tblSales[[#This Row],[Gross Sales]]-tblSales[[#This Row],[Discount Amount]]</f>
        <v>22500</v>
      </c>
    </row>
    <row r="149" spans="1:18" x14ac:dyDescent="0.35">
      <c r="A149" t="str">
        <f t="shared" si="2"/>
        <v>ORD-2026-0148</v>
      </c>
      <c r="B149" s="2">
        <v>45933</v>
      </c>
      <c r="C149" t="str">
        <f>TEXT(tblSales[[#This Row],[Date]],"mmmm")</f>
        <v>October</v>
      </c>
      <c r="D149" t="s">
        <v>26</v>
      </c>
      <c r="E149" t="str">
        <f>_xlfn.XLOOKUP(tblSales[[#This Row],[Saleperson]],Lookup_Tables!$B$5:$B$16,Lookup_Tables!$C$5:$C$16)</f>
        <v>North</v>
      </c>
      <c r="F149" t="s">
        <v>65</v>
      </c>
      <c r="G149" t="str">
        <f>_xlfn.XLOOKUP(tblSales[[#This Row],[Customer]],Lookup_Tables!$I$5:$I$34,Lookup_Tables!$J$5:$J$34)</f>
        <v>Retail</v>
      </c>
      <c r="H149" t="str">
        <f>_xlfn.XLOOKUP(tblSales[[#This Row],[Product]],Lookup_Tables!$F$5:$F$23,Lookup_Tables!$E$5:$E$23,"")</f>
        <v>Office Supplies</v>
      </c>
      <c r="I149" t="s">
        <v>57</v>
      </c>
      <c r="J149" s="11">
        <v>9</v>
      </c>
      <c r="K149" s="1">
        <f>_xlfn.XLOOKUP(tblSales[[#This Row],[Product]],Lookup_Tables!$F$5:$F$23,Lookup_Tables!$G$5:$G$23,"")</f>
        <v>5000</v>
      </c>
      <c r="L149" s="12">
        <f>_xlfn.XLOOKUP(tblSales[[#This Row],[Customer Type]],Lookup_Tables!$B$19:$B$21,Lookup_Tables!$C$19:$C$21,0)</f>
        <v>0</v>
      </c>
      <c r="M149" t="s">
        <v>33</v>
      </c>
      <c r="N149" s="11" t="str">
        <f>"Q"&amp;ROUNDUP(MONTH(tblSales[[#This Row],[Date]])/3,0)</f>
        <v>Q4</v>
      </c>
      <c r="O149" s="11">
        <f>YEAR(tblSales[[#This Row],[Date]])</f>
        <v>2025</v>
      </c>
      <c r="P149" s="1">
        <f>tblSales[[#This Row],[Quantity]]*tblSales[[#This Row],[Unit Price]]</f>
        <v>45000</v>
      </c>
      <c r="Q149" s="1">
        <f>tblSales[[#This Row],[Gross Sales]]*tblSales[[#This Row],[Discount%]]</f>
        <v>0</v>
      </c>
      <c r="R149" s="1">
        <f>tblSales[[#This Row],[Gross Sales]]-tblSales[[#This Row],[Discount Amount]]</f>
        <v>45000</v>
      </c>
    </row>
    <row r="150" spans="1:18" x14ac:dyDescent="0.35">
      <c r="A150" t="str">
        <f t="shared" si="2"/>
        <v>ORD-2026-0149</v>
      </c>
      <c r="B150" s="2">
        <v>45934</v>
      </c>
      <c r="C150" t="str">
        <f>TEXT(tblSales[[#This Row],[Date]],"mmmm")</f>
        <v>October</v>
      </c>
      <c r="D150" t="s">
        <v>25</v>
      </c>
      <c r="E150" t="str">
        <f>_xlfn.XLOOKUP(tblSales[[#This Row],[Saleperson]],Lookup_Tables!$B$5:$B$16,Lookup_Tables!$C$5:$C$16)</f>
        <v>West</v>
      </c>
      <c r="F150" s="5" t="s">
        <v>74</v>
      </c>
      <c r="G150" t="str">
        <f>_xlfn.XLOOKUP(tblSales[[#This Row],[Customer]],Lookup_Tables!$I$5:$I$34,Lookup_Tables!$J$5:$J$34)</f>
        <v>Retail</v>
      </c>
      <c r="H150" t="str">
        <f>_xlfn.XLOOKUP(tblSales[[#This Row],[Product]],Lookup_Tables!$F$5:$F$23,Lookup_Tables!$E$5:$E$23,"")</f>
        <v>Electronics</v>
      </c>
      <c r="I150" t="s">
        <v>41</v>
      </c>
      <c r="J150" s="11">
        <v>3</v>
      </c>
      <c r="K150" s="1">
        <f>_xlfn.XLOOKUP(tblSales[[#This Row],[Product]],Lookup_Tables!$F$5:$F$23,Lookup_Tables!$G$5:$G$23,"")</f>
        <v>720</v>
      </c>
      <c r="L150" s="12">
        <f>_xlfn.XLOOKUP(tblSales[[#This Row],[Customer Type]],Lookup_Tables!$B$19:$B$21,Lookup_Tables!$C$19:$C$21,0)</f>
        <v>0</v>
      </c>
      <c r="M150" t="s">
        <v>35</v>
      </c>
      <c r="N150" s="11" t="str">
        <f>"Q"&amp;ROUNDUP(MONTH(tblSales[[#This Row],[Date]])/3,0)</f>
        <v>Q4</v>
      </c>
      <c r="O150" s="11">
        <f>YEAR(tblSales[[#This Row],[Date]])</f>
        <v>2025</v>
      </c>
      <c r="P150" s="1">
        <f>tblSales[[#This Row],[Quantity]]*tblSales[[#This Row],[Unit Price]]</f>
        <v>2160</v>
      </c>
      <c r="Q150" s="1">
        <f>tblSales[[#This Row],[Gross Sales]]*tblSales[[#This Row],[Discount%]]</f>
        <v>0</v>
      </c>
      <c r="R150" s="1">
        <f>tblSales[[#This Row],[Gross Sales]]-tblSales[[#This Row],[Discount Amount]]</f>
        <v>2160</v>
      </c>
    </row>
    <row r="151" spans="1:18" x14ac:dyDescent="0.35">
      <c r="A151" t="str">
        <f t="shared" si="2"/>
        <v>ORD-2026-0150</v>
      </c>
      <c r="B151" s="2">
        <v>45935</v>
      </c>
      <c r="C151" t="str">
        <f>TEXT(tblSales[[#This Row],[Date]],"mmmm")</f>
        <v>October</v>
      </c>
      <c r="D151" t="s">
        <v>22</v>
      </c>
      <c r="E151" t="str">
        <f>_xlfn.XLOOKUP(tblSales[[#This Row],[Saleperson]],Lookup_Tables!$B$5:$B$16,Lookup_Tables!$C$5:$C$16)</f>
        <v>North</v>
      </c>
      <c r="F151" t="s">
        <v>63</v>
      </c>
      <c r="G151" t="str">
        <f>_xlfn.XLOOKUP(tblSales[[#This Row],[Customer]],Lookup_Tables!$I$5:$I$34,Lookup_Tables!$J$5:$J$34)</f>
        <v>Retail</v>
      </c>
      <c r="H151" t="str">
        <f>_xlfn.XLOOKUP(tblSales[[#This Row],[Product]],Lookup_Tables!$F$5:$F$23,Lookup_Tables!$E$5:$E$23,"")</f>
        <v>Office Supplies</v>
      </c>
      <c r="I151" t="s">
        <v>50</v>
      </c>
      <c r="J151" s="11">
        <v>7</v>
      </c>
      <c r="K151" s="1">
        <f>_xlfn.XLOOKUP(tblSales[[#This Row],[Product]],Lookup_Tables!$F$5:$F$23,Lookup_Tables!$G$5:$G$23,"")</f>
        <v>180</v>
      </c>
      <c r="L151" s="12">
        <f>_xlfn.XLOOKUP(tblSales[[#This Row],[Customer Type]],Lookup_Tables!$B$19:$B$21,Lookup_Tables!$C$19:$C$21,0)</f>
        <v>0</v>
      </c>
      <c r="M151" t="s">
        <v>34</v>
      </c>
      <c r="N151" s="11" t="str">
        <f>"Q"&amp;ROUNDUP(MONTH(tblSales[[#This Row],[Date]])/3,0)</f>
        <v>Q4</v>
      </c>
      <c r="O151" s="11">
        <f>YEAR(tblSales[[#This Row],[Date]])</f>
        <v>2025</v>
      </c>
      <c r="P151" s="1">
        <f>tblSales[[#This Row],[Quantity]]*tblSales[[#This Row],[Unit Price]]</f>
        <v>1260</v>
      </c>
      <c r="Q151" s="1">
        <f>tblSales[[#This Row],[Gross Sales]]*tblSales[[#This Row],[Discount%]]</f>
        <v>0</v>
      </c>
      <c r="R151" s="1">
        <f>tblSales[[#This Row],[Gross Sales]]-tblSales[[#This Row],[Discount Amount]]</f>
        <v>1260</v>
      </c>
    </row>
    <row r="152" spans="1:18" x14ac:dyDescent="0.35">
      <c r="A152" t="str">
        <f t="shared" si="2"/>
        <v>ORD-2026-0151</v>
      </c>
      <c r="B152" s="2">
        <v>45936</v>
      </c>
      <c r="C152" t="str">
        <f>TEXT(tblSales[[#This Row],[Date]],"mmmm")</f>
        <v>October</v>
      </c>
      <c r="D152" t="s">
        <v>20</v>
      </c>
      <c r="E152" t="str">
        <f>_xlfn.XLOOKUP(tblSales[[#This Row],[Saleperson]],Lookup_Tables!$B$5:$B$16,Lookup_Tables!$C$5:$C$16)</f>
        <v>East</v>
      </c>
      <c r="F152" s="5" t="s">
        <v>67</v>
      </c>
      <c r="G152" t="str">
        <f>_xlfn.XLOOKUP(tblSales[[#This Row],[Customer]],Lookup_Tables!$I$5:$I$34,Lookup_Tables!$J$5:$J$34)</f>
        <v>Government</v>
      </c>
      <c r="H152" t="str">
        <f>_xlfn.XLOOKUP(tblSales[[#This Row],[Product]],Lookup_Tables!$F$5:$F$23,Lookup_Tables!$E$5:$E$23,"")</f>
        <v>Electronics</v>
      </c>
      <c r="I152" t="s">
        <v>41</v>
      </c>
      <c r="J152" s="11">
        <v>6</v>
      </c>
      <c r="K152" s="1">
        <f>_xlfn.XLOOKUP(tblSales[[#This Row],[Product]],Lookup_Tables!$F$5:$F$23,Lookup_Tables!$G$5:$G$23,"")</f>
        <v>720</v>
      </c>
      <c r="L152" s="12">
        <f>_xlfn.XLOOKUP(tblSales[[#This Row],[Customer Type]],Lookup_Tables!$B$19:$B$21,Lookup_Tables!$C$19:$C$21,0)</f>
        <v>0.15</v>
      </c>
      <c r="M152" t="s">
        <v>33</v>
      </c>
      <c r="N152" s="11" t="str">
        <f>"Q"&amp;ROUNDUP(MONTH(tblSales[[#This Row],[Date]])/3,0)</f>
        <v>Q4</v>
      </c>
      <c r="O152" s="11">
        <f>YEAR(tblSales[[#This Row],[Date]])</f>
        <v>2025</v>
      </c>
      <c r="P152" s="1">
        <f>tblSales[[#This Row],[Quantity]]*tblSales[[#This Row],[Unit Price]]</f>
        <v>4320</v>
      </c>
      <c r="Q152" s="1">
        <f>tblSales[[#This Row],[Gross Sales]]*tblSales[[#This Row],[Discount%]]</f>
        <v>648</v>
      </c>
      <c r="R152" s="1">
        <f>tblSales[[#This Row],[Gross Sales]]-tblSales[[#This Row],[Discount Amount]]</f>
        <v>3672</v>
      </c>
    </row>
    <row r="153" spans="1:18" x14ac:dyDescent="0.35">
      <c r="A153" t="str">
        <f t="shared" si="2"/>
        <v>ORD-2026-0152</v>
      </c>
      <c r="B153" s="2">
        <v>45937</v>
      </c>
      <c r="C153" t="str">
        <f>TEXT(tblSales[[#This Row],[Date]],"mmmm")</f>
        <v>October</v>
      </c>
      <c r="D153" t="s">
        <v>27</v>
      </c>
      <c r="E153" t="str">
        <f>_xlfn.XLOOKUP(tblSales[[#This Row],[Saleperson]],Lookup_Tables!$B$5:$B$16,Lookup_Tables!$C$5:$C$16)</f>
        <v>East</v>
      </c>
      <c r="F153" s="5" t="s">
        <v>69</v>
      </c>
      <c r="G153" t="str">
        <f>_xlfn.XLOOKUP(tblSales[[#This Row],[Customer]],Lookup_Tables!$I$5:$I$34,Lookup_Tables!$J$5:$J$34)</f>
        <v>Retail</v>
      </c>
      <c r="H153" t="str">
        <f>_xlfn.XLOOKUP(tblSales[[#This Row],[Product]],Lookup_Tables!$F$5:$F$23,Lookup_Tables!$E$5:$E$23,"")</f>
        <v>Office Supplies</v>
      </c>
      <c r="I153" t="s">
        <v>56</v>
      </c>
      <c r="J153" s="11">
        <v>3</v>
      </c>
      <c r="K153" s="1">
        <f>_xlfn.XLOOKUP(tblSales[[#This Row],[Product]],Lookup_Tables!$F$5:$F$23,Lookup_Tables!$G$5:$G$23,"")</f>
        <v>190</v>
      </c>
      <c r="L153" s="12">
        <f>_xlfn.XLOOKUP(tblSales[[#This Row],[Customer Type]],Lookup_Tables!$B$19:$B$21,Lookup_Tables!$C$19:$C$21,0)</f>
        <v>0</v>
      </c>
      <c r="M153" t="s">
        <v>35</v>
      </c>
      <c r="N153" s="11" t="str">
        <f>"Q"&amp;ROUNDUP(MONTH(tblSales[[#This Row],[Date]])/3,0)</f>
        <v>Q4</v>
      </c>
      <c r="O153" s="11">
        <f>YEAR(tblSales[[#This Row],[Date]])</f>
        <v>2025</v>
      </c>
      <c r="P153" s="1">
        <f>tblSales[[#This Row],[Quantity]]*tblSales[[#This Row],[Unit Price]]</f>
        <v>570</v>
      </c>
      <c r="Q153" s="1">
        <f>tblSales[[#This Row],[Gross Sales]]*tblSales[[#This Row],[Discount%]]</f>
        <v>0</v>
      </c>
      <c r="R153" s="1">
        <f>tblSales[[#This Row],[Gross Sales]]-tblSales[[#This Row],[Discount Amount]]</f>
        <v>570</v>
      </c>
    </row>
    <row r="154" spans="1:18" x14ac:dyDescent="0.35">
      <c r="A154" t="str">
        <f t="shared" si="2"/>
        <v>ORD-2026-0153</v>
      </c>
      <c r="B154" s="2">
        <v>45938</v>
      </c>
      <c r="C154" t="str">
        <f>TEXT(tblSales[[#This Row],[Date]],"mmmm")</f>
        <v>October</v>
      </c>
      <c r="D154" t="s">
        <v>19</v>
      </c>
      <c r="E154" t="str">
        <f>_xlfn.XLOOKUP(tblSales[[#This Row],[Saleperson]],Lookup_Tables!$B$5:$B$16,Lookup_Tables!$C$5:$C$16)</f>
        <v>West</v>
      </c>
      <c r="F154" t="s">
        <v>65</v>
      </c>
      <c r="G154" t="str">
        <f>_xlfn.XLOOKUP(tblSales[[#This Row],[Customer]],Lookup_Tables!$I$5:$I$34,Lookup_Tables!$J$5:$J$34)</f>
        <v>Retail</v>
      </c>
      <c r="H154" t="str">
        <f>_xlfn.XLOOKUP(tblSales[[#This Row],[Product]],Lookup_Tables!$F$5:$F$23,Lookup_Tables!$E$5:$E$23,"")</f>
        <v>Office Supplies</v>
      </c>
      <c r="I154" t="s">
        <v>56</v>
      </c>
      <c r="J154" s="11">
        <v>3</v>
      </c>
      <c r="K154" s="1">
        <f>_xlfn.XLOOKUP(tblSales[[#This Row],[Product]],Lookup_Tables!$F$5:$F$23,Lookup_Tables!$G$5:$G$23,"")</f>
        <v>190</v>
      </c>
      <c r="L154" s="12">
        <f>_xlfn.XLOOKUP(tblSales[[#This Row],[Customer Type]],Lookup_Tables!$B$19:$B$21,Lookup_Tables!$C$19:$C$21,0)</f>
        <v>0</v>
      </c>
      <c r="M154" t="s">
        <v>34</v>
      </c>
      <c r="N154" s="11" t="str">
        <f>"Q"&amp;ROUNDUP(MONTH(tblSales[[#This Row],[Date]])/3,0)</f>
        <v>Q4</v>
      </c>
      <c r="O154" s="11">
        <f>YEAR(tblSales[[#This Row],[Date]])</f>
        <v>2025</v>
      </c>
      <c r="P154" s="1">
        <f>tblSales[[#This Row],[Quantity]]*tblSales[[#This Row],[Unit Price]]</f>
        <v>570</v>
      </c>
      <c r="Q154" s="1">
        <f>tblSales[[#This Row],[Gross Sales]]*tblSales[[#This Row],[Discount%]]</f>
        <v>0</v>
      </c>
      <c r="R154" s="1">
        <f>tblSales[[#This Row],[Gross Sales]]-tblSales[[#This Row],[Discount Amount]]</f>
        <v>570</v>
      </c>
    </row>
    <row r="155" spans="1:18" x14ac:dyDescent="0.35">
      <c r="A155" t="str">
        <f t="shared" si="2"/>
        <v>ORD-2026-0154</v>
      </c>
      <c r="B155" s="2">
        <v>45939</v>
      </c>
      <c r="C155" t="str">
        <f>TEXT(tblSales[[#This Row],[Date]],"mmmm")</f>
        <v>October</v>
      </c>
      <c r="D155" t="s">
        <v>28</v>
      </c>
      <c r="E155" t="str">
        <f>_xlfn.XLOOKUP(tblSales[[#This Row],[Saleperson]],Lookup_Tables!$B$5:$B$16,Lookup_Tables!$C$5:$C$16)</f>
        <v>South</v>
      </c>
      <c r="F155" s="5" t="s">
        <v>67</v>
      </c>
      <c r="G155" t="str">
        <f>_xlfn.XLOOKUP(tblSales[[#This Row],[Customer]],Lookup_Tables!$I$5:$I$34,Lookup_Tables!$J$5:$J$34)</f>
        <v>Government</v>
      </c>
      <c r="H155" t="str">
        <f>_xlfn.XLOOKUP(tblSales[[#This Row],[Product]],Lookup_Tables!$F$5:$F$23,Lookup_Tables!$E$5:$E$23,"")</f>
        <v>Office Supplies</v>
      </c>
      <c r="I155" t="s">
        <v>51</v>
      </c>
      <c r="J155" s="11">
        <v>7</v>
      </c>
      <c r="K155" s="1">
        <f>_xlfn.XLOOKUP(tblSales[[#This Row],[Product]],Lookup_Tables!$F$5:$F$23,Lookup_Tables!$G$5:$G$23,"")</f>
        <v>90</v>
      </c>
      <c r="L155" s="12">
        <f>_xlfn.XLOOKUP(tblSales[[#This Row],[Customer Type]],Lookup_Tables!$B$19:$B$21,Lookup_Tables!$C$19:$C$21,0)</f>
        <v>0.15</v>
      </c>
      <c r="M155" t="s">
        <v>35</v>
      </c>
      <c r="N155" s="11" t="str">
        <f>"Q"&amp;ROUNDUP(MONTH(tblSales[[#This Row],[Date]])/3,0)</f>
        <v>Q4</v>
      </c>
      <c r="O155" s="11">
        <f>YEAR(tblSales[[#This Row],[Date]])</f>
        <v>2025</v>
      </c>
      <c r="P155" s="1">
        <f>tblSales[[#This Row],[Quantity]]*tblSales[[#This Row],[Unit Price]]</f>
        <v>630</v>
      </c>
      <c r="Q155" s="1">
        <f>tblSales[[#This Row],[Gross Sales]]*tblSales[[#This Row],[Discount%]]</f>
        <v>94.5</v>
      </c>
      <c r="R155" s="1">
        <f>tblSales[[#This Row],[Gross Sales]]-tblSales[[#This Row],[Discount Amount]]</f>
        <v>535.5</v>
      </c>
    </row>
    <row r="156" spans="1:18" x14ac:dyDescent="0.35">
      <c r="A156" t="str">
        <f t="shared" si="2"/>
        <v>ORD-2026-0155</v>
      </c>
      <c r="B156" s="2">
        <v>45940</v>
      </c>
      <c r="C156" t="str">
        <f>TEXT(tblSales[[#This Row],[Date]],"mmmm")</f>
        <v>October</v>
      </c>
      <c r="D156" t="s">
        <v>18</v>
      </c>
      <c r="E156" t="str">
        <f>_xlfn.XLOOKUP(tblSales[[#This Row],[Saleperson]],Lookup_Tables!$B$5:$B$16,Lookup_Tables!$C$5:$C$16)</f>
        <v>South</v>
      </c>
      <c r="F156" s="5" t="s">
        <v>89</v>
      </c>
      <c r="G156" t="str">
        <f>_xlfn.XLOOKUP(tblSales[[#This Row],[Customer]],Lookup_Tables!$I$5:$I$34,Lookup_Tables!$J$5:$J$34)</f>
        <v>Retail</v>
      </c>
      <c r="H156" t="str">
        <f>_xlfn.XLOOKUP(tblSales[[#This Row],[Product]],Lookup_Tables!$F$5:$F$23,Lookup_Tables!$E$5:$E$23,"")</f>
        <v>Electronics</v>
      </c>
      <c r="I156" t="s">
        <v>38</v>
      </c>
      <c r="J156" s="11">
        <v>10</v>
      </c>
      <c r="K156" s="1">
        <f>_xlfn.XLOOKUP(tblSales[[#This Row],[Product]],Lookup_Tables!$F$5:$F$23,Lookup_Tables!$G$5:$G$23,"")</f>
        <v>6000</v>
      </c>
      <c r="L156" s="12">
        <f>_xlfn.XLOOKUP(tblSales[[#This Row],[Customer Type]],Lookup_Tables!$B$19:$B$21,Lookup_Tables!$C$19:$C$21,0)</f>
        <v>0</v>
      </c>
      <c r="M156" t="s">
        <v>32</v>
      </c>
      <c r="N156" s="11" t="str">
        <f>"Q"&amp;ROUNDUP(MONTH(tblSales[[#This Row],[Date]])/3,0)</f>
        <v>Q4</v>
      </c>
      <c r="O156" s="11">
        <f>YEAR(tblSales[[#This Row],[Date]])</f>
        <v>2025</v>
      </c>
      <c r="P156" s="1">
        <f>tblSales[[#This Row],[Quantity]]*tblSales[[#This Row],[Unit Price]]</f>
        <v>60000</v>
      </c>
      <c r="Q156" s="1">
        <f>tblSales[[#This Row],[Gross Sales]]*tblSales[[#This Row],[Discount%]]</f>
        <v>0</v>
      </c>
      <c r="R156" s="1">
        <f>tblSales[[#This Row],[Gross Sales]]-tblSales[[#This Row],[Discount Amount]]</f>
        <v>60000</v>
      </c>
    </row>
    <row r="157" spans="1:18" x14ac:dyDescent="0.35">
      <c r="A157" t="str">
        <f t="shared" si="2"/>
        <v>ORD-2026-0156</v>
      </c>
      <c r="B157" s="2">
        <v>45941</v>
      </c>
      <c r="C157" t="str">
        <f>TEXT(tblSales[[#This Row],[Date]],"mmmm")</f>
        <v>October</v>
      </c>
      <c r="D157" t="s">
        <v>25</v>
      </c>
      <c r="E157" t="str">
        <f>_xlfn.XLOOKUP(tblSales[[#This Row],[Saleperson]],Lookup_Tables!$B$5:$B$16,Lookup_Tables!$C$5:$C$16)</f>
        <v>West</v>
      </c>
      <c r="F157" s="5" t="s">
        <v>68</v>
      </c>
      <c r="G157" t="str">
        <f>_xlfn.XLOOKUP(tblSales[[#This Row],[Customer]],Lookup_Tables!$I$5:$I$34,Lookup_Tables!$J$5:$J$34)</f>
        <v>Government</v>
      </c>
      <c r="H157" t="str">
        <f>_xlfn.XLOOKUP(tblSales[[#This Row],[Product]],Lookup_Tables!$F$5:$F$23,Lookup_Tables!$E$5:$E$23,"")</f>
        <v>Office Supplies</v>
      </c>
      <c r="I157" t="s">
        <v>54</v>
      </c>
      <c r="J157" s="11">
        <v>10</v>
      </c>
      <c r="K157" s="1">
        <f>_xlfn.XLOOKUP(tblSales[[#This Row],[Product]],Lookup_Tables!$F$5:$F$23,Lookup_Tables!$G$5:$G$23,"")</f>
        <v>210</v>
      </c>
      <c r="L157" s="12">
        <f>_xlfn.XLOOKUP(tblSales[[#This Row],[Customer Type]],Lookup_Tables!$B$19:$B$21,Lookup_Tables!$C$19:$C$21,0)</f>
        <v>0.15</v>
      </c>
      <c r="M157" t="s">
        <v>32</v>
      </c>
      <c r="N157" s="11" t="str">
        <f>"Q"&amp;ROUNDUP(MONTH(tblSales[[#This Row],[Date]])/3,0)</f>
        <v>Q4</v>
      </c>
      <c r="O157" s="11">
        <f>YEAR(tblSales[[#This Row],[Date]])</f>
        <v>2025</v>
      </c>
      <c r="P157" s="1">
        <f>tblSales[[#This Row],[Quantity]]*tblSales[[#This Row],[Unit Price]]</f>
        <v>2100</v>
      </c>
      <c r="Q157" s="1">
        <f>tblSales[[#This Row],[Gross Sales]]*tblSales[[#This Row],[Discount%]]</f>
        <v>315</v>
      </c>
      <c r="R157" s="1">
        <f>tblSales[[#This Row],[Gross Sales]]-tblSales[[#This Row],[Discount Amount]]</f>
        <v>1785</v>
      </c>
    </row>
    <row r="158" spans="1:18" x14ac:dyDescent="0.35">
      <c r="A158" t="str">
        <f t="shared" si="2"/>
        <v>ORD-2026-0157</v>
      </c>
      <c r="B158" s="2">
        <v>45942</v>
      </c>
      <c r="C158" t="str">
        <f>TEXT(tblSales[[#This Row],[Date]],"mmmm")</f>
        <v>October</v>
      </c>
      <c r="D158" t="s">
        <v>21</v>
      </c>
      <c r="E158" t="str">
        <f>_xlfn.XLOOKUP(tblSales[[#This Row],[Saleperson]],Lookup_Tables!$B$5:$B$16,Lookup_Tables!$C$5:$C$16)</f>
        <v>South</v>
      </c>
      <c r="F158" t="s">
        <v>65</v>
      </c>
      <c r="G158" t="str">
        <f>_xlfn.XLOOKUP(tblSales[[#This Row],[Customer]],Lookup_Tables!$I$5:$I$34,Lookup_Tables!$J$5:$J$34)</f>
        <v>Retail</v>
      </c>
      <c r="H158" t="str">
        <f>_xlfn.XLOOKUP(tblSales[[#This Row],[Product]],Lookup_Tables!$F$5:$F$23,Lookup_Tables!$E$5:$E$23,"")</f>
        <v>Office Supplies</v>
      </c>
      <c r="I158" t="s">
        <v>56</v>
      </c>
      <c r="J158" s="11">
        <v>8</v>
      </c>
      <c r="K158" s="1">
        <f>_xlfn.XLOOKUP(tblSales[[#This Row],[Product]],Lookup_Tables!$F$5:$F$23,Lookup_Tables!$G$5:$G$23,"")</f>
        <v>190</v>
      </c>
      <c r="L158" s="12">
        <f>_xlfn.XLOOKUP(tblSales[[#This Row],[Customer Type]],Lookup_Tables!$B$19:$B$21,Lookup_Tables!$C$19:$C$21,0)</f>
        <v>0</v>
      </c>
      <c r="M158" t="s">
        <v>35</v>
      </c>
      <c r="N158" s="11" t="str">
        <f>"Q"&amp;ROUNDUP(MONTH(tblSales[[#This Row],[Date]])/3,0)</f>
        <v>Q4</v>
      </c>
      <c r="O158" s="11">
        <f>YEAR(tblSales[[#This Row],[Date]])</f>
        <v>2025</v>
      </c>
      <c r="P158" s="1">
        <f>tblSales[[#This Row],[Quantity]]*tblSales[[#This Row],[Unit Price]]</f>
        <v>1520</v>
      </c>
      <c r="Q158" s="1">
        <f>tblSales[[#This Row],[Gross Sales]]*tblSales[[#This Row],[Discount%]]</f>
        <v>0</v>
      </c>
      <c r="R158" s="1">
        <f>tblSales[[#This Row],[Gross Sales]]-tblSales[[#This Row],[Discount Amount]]</f>
        <v>1520</v>
      </c>
    </row>
    <row r="159" spans="1:18" x14ac:dyDescent="0.35">
      <c r="A159" t="str">
        <f t="shared" si="2"/>
        <v>ORD-2026-0158</v>
      </c>
      <c r="B159" s="2">
        <v>45943</v>
      </c>
      <c r="C159" t="str">
        <f>TEXT(tblSales[[#This Row],[Date]],"mmmm")</f>
        <v>October</v>
      </c>
      <c r="D159" t="s">
        <v>23</v>
      </c>
      <c r="E159" t="str">
        <f>_xlfn.XLOOKUP(tblSales[[#This Row],[Saleperson]],Lookup_Tables!$B$5:$B$16,Lookup_Tables!$C$5:$C$16)</f>
        <v>West</v>
      </c>
      <c r="F159" t="s">
        <v>63</v>
      </c>
      <c r="G159" t="str">
        <f>_xlfn.XLOOKUP(tblSales[[#This Row],[Customer]],Lookup_Tables!$I$5:$I$34,Lookup_Tables!$J$5:$J$34)</f>
        <v>Retail</v>
      </c>
      <c r="H159" t="str">
        <f>_xlfn.XLOOKUP(tblSales[[#This Row],[Product]],Lookup_Tables!$F$5:$F$23,Lookup_Tables!$E$5:$E$23,"")</f>
        <v>Electronics</v>
      </c>
      <c r="I159" t="s">
        <v>38</v>
      </c>
      <c r="J159" s="11">
        <v>10</v>
      </c>
      <c r="K159" s="1">
        <f>_xlfn.XLOOKUP(tblSales[[#This Row],[Product]],Lookup_Tables!$F$5:$F$23,Lookup_Tables!$G$5:$G$23,"")</f>
        <v>6000</v>
      </c>
      <c r="L159" s="12">
        <f>_xlfn.XLOOKUP(tblSales[[#This Row],[Customer Type]],Lookup_Tables!$B$19:$B$21,Lookup_Tables!$C$19:$C$21,0)</f>
        <v>0</v>
      </c>
      <c r="M159" t="s">
        <v>34</v>
      </c>
      <c r="N159" s="11" t="str">
        <f>"Q"&amp;ROUNDUP(MONTH(tblSales[[#This Row],[Date]])/3,0)</f>
        <v>Q4</v>
      </c>
      <c r="O159" s="11">
        <f>YEAR(tblSales[[#This Row],[Date]])</f>
        <v>2025</v>
      </c>
      <c r="P159" s="1">
        <f>tblSales[[#This Row],[Quantity]]*tblSales[[#This Row],[Unit Price]]</f>
        <v>60000</v>
      </c>
      <c r="Q159" s="1">
        <f>tblSales[[#This Row],[Gross Sales]]*tblSales[[#This Row],[Discount%]]</f>
        <v>0</v>
      </c>
      <c r="R159" s="1">
        <f>tblSales[[#This Row],[Gross Sales]]-tblSales[[#This Row],[Discount Amount]]</f>
        <v>60000</v>
      </c>
    </row>
    <row r="160" spans="1:18" x14ac:dyDescent="0.35">
      <c r="A160" t="str">
        <f t="shared" si="2"/>
        <v>ORD-2026-0159</v>
      </c>
      <c r="B160" s="2">
        <v>45944</v>
      </c>
      <c r="C160" t="str">
        <f>TEXT(tblSales[[#This Row],[Date]],"mmmm")</f>
        <v>October</v>
      </c>
      <c r="D160" t="s">
        <v>17</v>
      </c>
      <c r="E160" t="str">
        <f>_xlfn.XLOOKUP(tblSales[[#This Row],[Saleperson]],Lookup_Tables!$B$5:$B$16,Lookup_Tables!$C$5:$C$16)</f>
        <v>North</v>
      </c>
      <c r="F160" s="5" t="s">
        <v>72</v>
      </c>
      <c r="G160" t="str">
        <f>_xlfn.XLOOKUP(tblSales[[#This Row],[Customer]],Lookup_Tables!$I$5:$I$34,Lookup_Tables!$J$5:$J$34)</f>
        <v>Retail</v>
      </c>
      <c r="H160" t="str">
        <f>_xlfn.XLOOKUP(tblSales[[#This Row],[Product]],Lookup_Tables!$F$5:$F$23,Lookup_Tables!$E$5:$E$23,"")</f>
        <v>Office Supplies</v>
      </c>
      <c r="I160" t="s">
        <v>53</v>
      </c>
      <c r="J160" s="11">
        <v>2</v>
      </c>
      <c r="K160" s="1">
        <f>_xlfn.XLOOKUP(tblSales[[#This Row],[Product]],Lookup_Tables!$F$5:$F$23,Lookup_Tables!$G$5:$G$23,"")</f>
        <v>32</v>
      </c>
      <c r="L160" s="12">
        <f>_xlfn.XLOOKUP(tblSales[[#This Row],[Customer Type]],Lookup_Tables!$B$19:$B$21,Lookup_Tables!$C$19:$C$21,0)</f>
        <v>0</v>
      </c>
      <c r="M160" t="s">
        <v>34</v>
      </c>
      <c r="N160" s="11" t="str">
        <f>"Q"&amp;ROUNDUP(MONTH(tblSales[[#This Row],[Date]])/3,0)</f>
        <v>Q4</v>
      </c>
      <c r="O160" s="11">
        <f>YEAR(tblSales[[#This Row],[Date]])</f>
        <v>2025</v>
      </c>
      <c r="P160" s="1">
        <f>tblSales[[#This Row],[Quantity]]*tblSales[[#This Row],[Unit Price]]</f>
        <v>64</v>
      </c>
      <c r="Q160" s="1">
        <f>tblSales[[#This Row],[Gross Sales]]*tblSales[[#This Row],[Discount%]]</f>
        <v>0</v>
      </c>
      <c r="R160" s="1">
        <f>tblSales[[#This Row],[Gross Sales]]-tblSales[[#This Row],[Discount Amount]]</f>
        <v>64</v>
      </c>
    </row>
    <row r="161" spans="1:18" x14ac:dyDescent="0.35">
      <c r="A161" t="str">
        <f t="shared" si="2"/>
        <v>ORD-2026-0160</v>
      </c>
      <c r="B161" s="2">
        <v>45945</v>
      </c>
      <c r="C161" t="str">
        <f>TEXT(tblSales[[#This Row],[Date]],"mmmm")</f>
        <v>October</v>
      </c>
      <c r="D161" t="s">
        <v>24</v>
      </c>
      <c r="E161" t="str">
        <f>_xlfn.XLOOKUP(tblSales[[#This Row],[Saleperson]],Lookup_Tables!$B$5:$B$16,Lookup_Tables!$C$5:$C$16)</f>
        <v>South</v>
      </c>
      <c r="F161" t="s">
        <v>63</v>
      </c>
      <c r="G161" t="str">
        <f>_xlfn.XLOOKUP(tblSales[[#This Row],[Customer]],Lookup_Tables!$I$5:$I$34,Lookup_Tables!$J$5:$J$34)</f>
        <v>Retail</v>
      </c>
      <c r="H161" t="str">
        <f>_xlfn.XLOOKUP(tblSales[[#This Row],[Product]],Lookup_Tables!$F$5:$F$23,Lookup_Tables!$E$5:$E$23,"")</f>
        <v>Furniture</v>
      </c>
      <c r="I161" t="s">
        <v>46</v>
      </c>
      <c r="J161" s="11">
        <v>1</v>
      </c>
      <c r="K161" s="1">
        <f>_xlfn.XLOOKUP(tblSales[[#This Row],[Product]],Lookup_Tables!$F$5:$F$23,Lookup_Tables!$G$5:$G$23,"")</f>
        <v>3100</v>
      </c>
      <c r="L161" s="12">
        <f>_xlfn.XLOOKUP(tblSales[[#This Row],[Customer Type]],Lookup_Tables!$B$19:$B$21,Lookup_Tables!$C$19:$C$21,0)</f>
        <v>0</v>
      </c>
      <c r="M161" t="s">
        <v>32</v>
      </c>
      <c r="N161" s="11" t="str">
        <f>"Q"&amp;ROUNDUP(MONTH(tblSales[[#This Row],[Date]])/3,0)</f>
        <v>Q4</v>
      </c>
      <c r="O161" s="11">
        <f>YEAR(tblSales[[#This Row],[Date]])</f>
        <v>2025</v>
      </c>
      <c r="P161" s="1">
        <f>tblSales[[#This Row],[Quantity]]*tblSales[[#This Row],[Unit Price]]</f>
        <v>3100</v>
      </c>
      <c r="Q161" s="1">
        <f>tblSales[[#This Row],[Gross Sales]]*tblSales[[#This Row],[Discount%]]</f>
        <v>0</v>
      </c>
      <c r="R161" s="1">
        <f>tblSales[[#This Row],[Gross Sales]]-tblSales[[#This Row],[Discount Amount]]</f>
        <v>3100</v>
      </c>
    </row>
    <row r="162" spans="1:18" x14ac:dyDescent="0.35">
      <c r="A162" t="str">
        <f t="shared" si="2"/>
        <v>ORD-2026-0161</v>
      </c>
      <c r="B162" s="2">
        <v>45946</v>
      </c>
      <c r="C162" t="str">
        <f>TEXT(tblSales[[#This Row],[Date]],"mmmm")</f>
        <v>October</v>
      </c>
      <c r="D162" t="s">
        <v>26</v>
      </c>
      <c r="E162" t="str">
        <f>_xlfn.XLOOKUP(tblSales[[#This Row],[Saleperson]],Lookup_Tables!$B$5:$B$16,Lookup_Tables!$C$5:$C$16)</f>
        <v>North</v>
      </c>
      <c r="F162" s="5" t="s">
        <v>76</v>
      </c>
      <c r="G162" t="str">
        <f>_xlfn.XLOOKUP(tblSales[[#This Row],[Customer]],Lookup_Tables!$I$5:$I$34,Lookup_Tables!$J$5:$J$34)</f>
        <v>Retail</v>
      </c>
      <c r="H162" t="str">
        <f>_xlfn.XLOOKUP(tblSales[[#This Row],[Product]],Lookup_Tables!$F$5:$F$23,Lookup_Tables!$E$5:$E$23,"")</f>
        <v>Office Supplies</v>
      </c>
      <c r="I162" t="s">
        <v>52</v>
      </c>
      <c r="J162" s="11">
        <v>1</v>
      </c>
      <c r="K162" s="1">
        <f>_xlfn.XLOOKUP(tblSales[[#This Row],[Product]],Lookup_Tables!$F$5:$F$23,Lookup_Tables!$G$5:$G$23,"")</f>
        <v>60</v>
      </c>
      <c r="L162" s="6">
        <f>_xlfn.XLOOKUP(tblSales[[#This Row],[Customer Type]],Lookup_Tables!$B$19:$B$21,Lookup_Tables!$C$19:$C$21,0)</f>
        <v>0</v>
      </c>
      <c r="M162" t="s">
        <v>33</v>
      </c>
      <c r="N162" s="11" t="str">
        <f>"Q"&amp;ROUNDUP(MONTH(tblSales[[#This Row],[Date]])/3,0)</f>
        <v>Q4</v>
      </c>
      <c r="O162" s="11">
        <f>YEAR(tblSales[[#This Row],[Date]])</f>
        <v>2025</v>
      </c>
      <c r="P162" s="1">
        <f>tblSales[[#This Row],[Quantity]]*tblSales[[#This Row],[Unit Price]]</f>
        <v>60</v>
      </c>
      <c r="Q162" s="1">
        <f>tblSales[[#This Row],[Gross Sales]]*tblSales[[#This Row],[Discount%]]</f>
        <v>0</v>
      </c>
      <c r="R162" s="1">
        <f>tblSales[[#This Row],[Gross Sales]]-tblSales[[#This Row],[Discount Amount]]</f>
        <v>60</v>
      </c>
    </row>
    <row r="163" spans="1:18" x14ac:dyDescent="0.35">
      <c r="A163" t="str">
        <f t="shared" si="2"/>
        <v>ORD-2026-0162</v>
      </c>
      <c r="B163" s="2">
        <v>45947</v>
      </c>
      <c r="C163" t="str">
        <f>TEXT(tblSales[[#This Row],[Date]],"mmmm")</f>
        <v>October</v>
      </c>
      <c r="D163" t="s">
        <v>22</v>
      </c>
      <c r="E163" t="str">
        <f>_xlfn.XLOOKUP(tblSales[[#This Row],[Saleperson]],Lookup_Tables!$B$5:$B$16,Lookup_Tables!$C$5:$C$16)</f>
        <v>North</v>
      </c>
      <c r="F163" s="5" t="s">
        <v>71</v>
      </c>
      <c r="G163" t="str">
        <f>_xlfn.XLOOKUP(tblSales[[#This Row],[Customer]],Lookup_Tables!$I$5:$I$34,Lookup_Tables!$J$5:$J$34)</f>
        <v>Government</v>
      </c>
      <c r="H163" t="str">
        <f>_xlfn.XLOOKUP(tblSales[[#This Row],[Product]],Lookup_Tables!$F$5:$F$23,Lookup_Tables!$E$5:$E$23,"")</f>
        <v>Office Supplies</v>
      </c>
      <c r="I163" t="s">
        <v>49</v>
      </c>
      <c r="J163" s="11">
        <v>8</v>
      </c>
      <c r="K163" s="1">
        <f>_xlfn.XLOOKUP(tblSales[[#This Row],[Product]],Lookup_Tables!$F$5:$F$23,Lookup_Tables!$G$5:$G$23,"")</f>
        <v>120</v>
      </c>
      <c r="L163" s="12">
        <f>_xlfn.XLOOKUP(tblSales[[#This Row],[Customer Type]],Lookup_Tables!$B$19:$B$21,Lookup_Tables!$C$19:$C$21,0)</f>
        <v>0.15</v>
      </c>
      <c r="M163" t="s">
        <v>35</v>
      </c>
      <c r="N163" s="11" t="str">
        <f>"Q"&amp;ROUNDUP(MONTH(tblSales[[#This Row],[Date]])/3,0)</f>
        <v>Q4</v>
      </c>
      <c r="O163" s="11">
        <f>YEAR(tblSales[[#This Row],[Date]])</f>
        <v>2025</v>
      </c>
      <c r="P163" s="1">
        <f>tblSales[[#This Row],[Quantity]]*tblSales[[#This Row],[Unit Price]]</f>
        <v>960</v>
      </c>
      <c r="Q163" s="1">
        <f>tblSales[[#This Row],[Gross Sales]]*tblSales[[#This Row],[Discount%]]</f>
        <v>144</v>
      </c>
      <c r="R163" s="1">
        <f>tblSales[[#This Row],[Gross Sales]]-tblSales[[#This Row],[Discount Amount]]</f>
        <v>816</v>
      </c>
    </row>
    <row r="164" spans="1:18" x14ac:dyDescent="0.35">
      <c r="A164" t="str">
        <f t="shared" si="2"/>
        <v>ORD-2026-0163</v>
      </c>
      <c r="B164" s="2">
        <v>45948</v>
      </c>
      <c r="C164" t="str">
        <f>TEXT(tblSales[[#This Row],[Date]],"mmmm")</f>
        <v>October</v>
      </c>
      <c r="D164" t="s">
        <v>28</v>
      </c>
      <c r="E164" t="str">
        <f>_xlfn.XLOOKUP(tblSales[[#This Row],[Saleperson]],Lookup_Tables!$B$5:$B$16,Lookup_Tables!$C$5:$C$16)</f>
        <v>South</v>
      </c>
      <c r="F164" s="5" t="s">
        <v>68</v>
      </c>
      <c r="G164" t="str">
        <f>_xlfn.XLOOKUP(tblSales[[#This Row],[Customer]],Lookup_Tables!$I$5:$I$34,Lookup_Tables!$J$5:$J$34)</f>
        <v>Government</v>
      </c>
      <c r="H164" t="str">
        <f>_xlfn.XLOOKUP(tblSales[[#This Row],[Product]],Lookup_Tables!$F$5:$F$23,Lookup_Tables!$E$5:$E$23,"")</f>
        <v>Furniture</v>
      </c>
      <c r="I164" t="s">
        <v>44</v>
      </c>
      <c r="J164" s="11">
        <v>9</v>
      </c>
      <c r="K164" s="1">
        <f>_xlfn.XLOOKUP(tblSales[[#This Row],[Product]],Lookup_Tables!$F$5:$F$23,Lookup_Tables!$G$5:$G$23,"")</f>
        <v>6900</v>
      </c>
      <c r="L164" s="12">
        <f>_xlfn.XLOOKUP(tblSales[[#This Row],[Customer Type]],Lookup_Tables!$B$19:$B$21,Lookup_Tables!$C$19:$C$21,0)</f>
        <v>0.15</v>
      </c>
      <c r="M164" t="s">
        <v>32</v>
      </c>
      <c r="N164" s="11" t="str">
        <f>"Q"&amp;ROUNDUP(MONTH(tblSales[[#This Row],[Date]])/3,0)</f>
        <v>Q4</v>
      </c>
      <c r="O164" s="11">
        <f>YEAR(tblSales[[#This Row],[Date]])</f>
        <v>2025</v>
      </c>
      <c r="P164" s="1">
        <f>tblSales[[#This Row],[Quantity]]*tblSales[[#This Row],[Unit Price]]</f>
        <v>62100</v>
      </c>
      <c r="Q164" s="1">
        <f>tblSales[[#This Row],[Gross Sales]]*tblSales[[#This Row],[Discount%]]</f>
        <v>9315</v>
      </c>
      <c r="R164" s="1">
        <f>tblSales[[#This Row],[Gross Sales]]-tblSales[[#This Row],[Discount Amount]]</f>
        <v>52785</v>
      </c>
    </row>
    <row r="165" spans="1:18" x14ac:dyDescent="0.35">
      <c r="A165" t="str">
        <f t="shared" si="2"/>
        <v>ORD-2026-0164</v>
      </c>
      <c r="B165" s="2">
        <v>45949</v>
      </c>
      <c r="C165" t="str">
        <f>TEXT(tblSales[[#This Row],[Date]],"mmmm")</f>
        <v>October</v>
      </c>
      <c r="D165" t="s">
        <v>28</v>
      </c>
      <c r="E165" t="str">
        <f>_xlfn.XLOOKUP(tblSales[[#This Row],[Saleperson]],Lookup_Tables!$B$5:$B$16,Lookup_Tables!$C$5:$C$16)</f>
        <v>South</v>
      </c>
      <c r="F165" t="s">
        <v>65</v>
      </c>
      <c r="G165" t="str">
        <f>_xlfn.XLOOKUP(tblSales[[#This Row],[Customer]],Lookup_Tables!$I$5:$I$34,Lookup_Tables!$J$5:$J$34)</f>
        <v>Retail</v>
      </c>
      <c r="H165" t="str">
        <f>_xlfn.XLOOKUP(tblSales[[#This Row],[Product]],Lookup_Tables!$F$5:$F$23,Lookup_Tables!$E$5:$E$23,"")</f>
        <v>Office Supplies</v>
      </c>
      <c r="I165" t="s">
        <v>54</v>
      </c>
      <c r="J165" s="11">
        <v>4</v>
      </c>
      <c r="K165" s="1">
        <f>_xlfn.XLOOKUP(tblSales[[#This Row],[Product]],Lookup_Tables!$F$5:$F$23,Lookup_Tables!$G$5:$G$23,"")</f>
        <v>210</v>
      </c>
      <c r="L165" s="12">
        <f>_xlfn.XLOOKUP(tblSales[[#This Row],[Customer Type]],Lookup_Tables!$B$19:$B$21,Lookup_Tables!$C$19:$C$21,0)</f>
        <v>0</v>
      </c>
      <c r="M165" t="s">
        <v>34</v>
      </c>
      <c r="N165" s="11" t="str">
        <f>"Q"&amp;ROUNDUP(MONTH(tblSales[[#This Row],[Date]])/3,0)</f>
        <v>Q4</v>
      </c>
      <c r="O165" s="11">
        <f>YEAR(tblSales[[#This Row],[Date]])</f>
        <v>2025</v>
      </c>
      <c r="P165" s="1">
        <f>tblSales[[#This Row],[Quantity]]*tblSales[[#This Row],[Unit Price]]</f>
        <v>840</v>
      </c>
      <c r="Q165" s="1">
        <f>tblSales[[#This Row],[Gross Sales]]*tblSales[[#This Row],[Discount%]]</f>
        <v>0</v>
      </c>
      <c r="R165" s="1">
        <f>tblSales[[#This Row],[Gross Sales]]-tblSales[[#This Row],[Discount Amount]]</f>
        <v>840</v>
      </c>
    </row>
    <row r="166" spans="1:18" x14ac:dyDescent="0.35">
      <c r="A166" t="str">
        <f t="shared" si="2"/>
        <v>ORD-2026-0165</v>
      </c>
      <c r="B166" s="2">
        <v>45950</v>
      </c>
      <c r="C166" t="str">
        <f>TEXT(tblSales[[#This Row],[Date]],"mmmm")</f>
        <v>October</v>
      </c>
      <c r="D166" t="s">
        <v>20</v>
      </c>
      <c r="E166" t="str">
        <f>_xlfn.XLOOKUP(tblSales[[#This Row],[Saleperson]],Lookup_Tables!$B$5:$B$16,Lookup_Tables!$C$5:$C$16)</f>
        <v>East</v>
      </c>
      <c r="F166" s="5" t="s">
        <v>68</v>
      </c>
      <c r="G166" t="str">
        <f>_xlfn.XLOOKUP(tblSales[[#This Row],[Customer]],Lookup_Tables!$I$5:$I$34,Lookup_Tables!$J$5:$J$34)</f>
        <v>Government</v>
      </c>
      <c r="H166" t="str">
        <f>_xlfn.XLOOKUP(tblSales[[#This Row],[Product]],Lookup_Tables!$F$5:$F$23,Lookup_Tables!$E$5:$E$23,"")</f>
        <v>Furniture</v>
      </c>
      <c r="I166" t="s">
        <v>46</v>
      </c>
      <c r="J166" s="11">
        <v>5</v>
      </c>
      <c r="K166" s="1">
        <f>_xlfn.XLOOKUP(tblSales[[#This Row],[Product]],Lookup_Tables!$F$5:$F$23,Lookup_Tables!$G$5:$G$23,"")</f>
        <v>3100</v>
      </c>
      <c r="L166" s="12">
        <f>_xlfn.XLOOKUP(tblSales[[#This Row],[Customer Type]],Lookup_Tables!$B$19:$B$21,Lookup_Tables!$C$19:$C$21,0)</f>
        <v>0.15</v>
      </c>
      <c r="M166" t="s">
        <v>35</v>
      </c>
      <c r="N166" s="11" t="str">
        <f>"Q"&amp;ROUNDUP(MONTH(tblSales[[#This Row],[Date]])/3,0)</f>
        <v>Q4</v>
      </c>
      <c r="O166" s="11">
        <f>YEAR(tblSales[[#This Row],[Date]])</f>
        <v>2025</v>
      </c>
      <c r="P166" s="1">
        <f>tblSales[[#This Row],[Quantity]]*tblSales[[#This Row],[Unit Price]]</f>
        <v>15500</v>
      </c>
      <c r="Q166" s="1">
        <f>tblSales[[#This Row],[Gross Sales]]*tblSales[[#This Row],[Discount%]]</f>
        <v>2325</v>
      </c>
      <c r="R166" s="1">
        <f>tblSales[[#This Row],[Gross Sales]]-tblSales[[#This Row],[Discount Amount]]</f>
        <v>13175</v>
      </c>
    </row>
    <row r="167" spans="1:18" x14ac:dyDescent="0.35">
      <c r="A167" t="str">
        <f t="shared" si="2"/>
        <v>ORD-2026-0166</v>
      </c>
      <c r="B167" s="2">
        <v>45951</v>
      </c>
      <c r="C167" t="str">
        <f>TEXT(tblSales[[#This Row],[Date]],"mmmm")</f>
        <v>October</v>
      </c>
      <c r="D167" t="s">
        <v>27</v>
      </c>
      <c r="E167" t="str">
        <f>_xlfn.XLOOKUP(tblSales[[#This Row],[Saleperson]],Lookup_Tables!$B$5:$B$16,Lookup_Tables!$C$5:$C$16)</f>
        <v>East</v>
      </c>
      <c r="F167" t="s">
        <v>63</v>
      </c>
      <c r="G167" t="str">
        <f>_xlfn.XLOOKUP(tblSales[[#This Row],[Customer]],Lookup_Tables!$I$5:$I$34,Lookup_Tables!$J$5:$J$34)</f>
        <v>Retail</v>
      </c>
      <c r="H167" t="str">
        <f>_xlfn.XLOOKUP(tblSales[[#This Row],[Product]],Lookup_Tables!$F$5:$F$23,Lookup_Tables!$E$5:$E$23,"")</f>
        <v>Furniture</v>
      </c>
      <c r="I167" t="s">
        <v>47</v>
      </c>
      <c r="J167" s="11">
        <v>3</v>
      </c>
      <c r="K167" s="1">
        <f>_xlfn.XLOOKUP(tblSales[[#This Row],[Product]],Lookup_Tables!$F$5:$F$23,Lookup_Tables!$G$5:$G$23,"")</f>
        <v>7500</v>
      </c>
      <c r="L167" s="12">
        <f>_xlfn.XLOOKUP(tblSales[[#This Row],[Customer Type]],Lookup_Tables!$B$19:$B$21,Lookup_Tables!$C$19:$C$21,0)</f>
        <v>0</v>
      </c>
      <c r="M167" t="s">
        <v>34</v>
      </c>
      <c r="N167" s="11" t="str">
        <f>"Q"&amp;ROUNDUP(MONTH(tblSales[[#This Row],[Date]])/3,0)</f>
        <v>Q4</v>
      </c>
      <c r="O167" s="11">
        <f>YEAR(tblSales[[#This Row],[Date]])</f>
        <v>2025</v>
      </c>
      <c r="P167" s="1">
        <f>tblSales[[#This Row],[Quantity]]*tblSales[[#This Row],[Unit Price]]</f>
        <v>22500</v>
      </c>
      <c r="Q167" s="1">
        <f>tblSales[[#This Row],[Gross Sales]]*tblSales[[#This Row],[Discount%]]</f>
        <v>0</v>
      </c>
      <c r="R167" s="1">
        <f>tblSales[[#This Row],[Gross Sales]]-tblSales[[#This Row],[Discount Amount]]</f>
        <v>22500</v>
      </c>
    </row>
    <row r="168" spans="1:18" x14ac:dyDescent="0.35">
      <c r="A168" t="str">
        <f t="shared" si="2"/>
        <v>ORD-2026-0167</v>
      </c>
      <c r="B168" s="2">
        <v>45952</v>
      </c>
      <c r="C168" t="str">
        <f>TEXT(tblSales[[#This Row],[Date]],"mmmm")</f>
        <v>October</v>
      </c>
      <c r="D168" t="s">
        <v>28</v>
      </c>
      <c r="E168" t="str">
        <f>_xlfn.XLOOKUP(tblSales[[#This Row],[Saleperson]],Lookup_Tables!$B$5:$B$16,Lookup_Tables!$C$5:$C$16)</f>
        <v>South</v>
      </c>
      <c r="F168" s="5" t="s">
        <v>70</v>
      </c>
      <c r="G168" t="str">
        <f>_xlfn.XLOOKUP(tblSales[[#This Row],[Customer]],Lookup_Tables!$I$5:$I$34,Lookup_Tables!$J$5:$J$34)</f>
        <v>Retail</v>
      </c>
      <c r="H168" t="str">
        <f>_xlfn.XLOOKUP(tblSales[[#This Row],[Product]],Lookup_Tables!$F$5:$F$23,Lookup_Tables!$E$5:$E$23,"")</f>
        <v>Office Supplies</v>
      </c>
      <c r="I168" t="s">
        <v>49</v>
      </c>
      <c r="J168" s="11">
        <v>2</v>
      </c>
      <c r="K168" s="1">
        <f>_xlfn.XLOOKUP(tblSales[[#This Row],[Product]],Lookup_Tables!$F$5:$F$23,Lookup_Tables!$G$5:$G$23,"")</f>
        <v>120</v>
      </c>
      <c r="L168" s="12">
        <f>_xlfn.XLOOKUP(tblSales[[#This Row],[Customer Type]],Lookup_Tables!$B$19:$B$21,Lookup_Tables!$C$19:$C$21,0)</f>
        <v>0</v>
      </c>
      <c r="M168" t="s">
        <v>32</v>
      </c>
      <c r="N168" s="11" t="str">
        <f>"Q"&amp;ROUNDUP(MONTH(tblSales[[#This Row],[Date]])/3,0)</f>
        <v>Q4</v>
      </c>
      <c r="O168" s="11">
        <f>YEAR(tblSales[[#This Row],[Date]])</f>
        <v>2025</v>
      </c>
      <c r="P168" s="1">
        <f>tblSales[[#This Row],[Quantity]]*tblSales[[#This Row],[Unit Price]]</f>
        <v>240</v>
      </c>
      <c r="Q168" s="1">
        <f>tblSales[[#This Row],[Gross Sales]]*tblSales[[#This Row],[Discount%]]</f>
        <v>0</v>
      </c>
      <c r="R168" s="1">
        <f>tblSales[[#This Row],[Gross Sales]]-tblSales[[#This Row],[Discount Amount]]</f>
        <v>240</v>
      </c>
    </row>
    <row r="169" spans="1:18" x14ac:dyDescent="0.35">
      <c r="A169" t="str">
        <f t="shared" si="2"/>
        <v>ORD-2026-0168</v>
      </c>
      <c r="B169" s="2">
        <v>45962</v>
      </c>
      <c r="C169" t="str">
        <f>TEXT(tblSales[[#This Row],[Date]],"mmmm")</f>
        <v>November</v>
      </c>
      <c r="D169" t="s">
        <v>17</v>
      </c>
      <c r="E169" t="str">
        <f>_xlfn.XLOOKUP(tblSales[[#This Row],[Saleperson]],Lookup_Tables!$B$5:$B$16,Lookup_Tables!$C$5:$C$16)</f>
        <v>North</v>
      </c>
      <c r="F169" s="5" t="s">
        <v>74</v>
      </c>
      <c r="G169" t="str">
        <f>_xlfn.XLOOKUP(tblSales[[#This Row],[Customer]],Lookup_Tables!$I$5:$I$34,Lookup_Tables!$J$5:$J$34)</f>
        <v>Retail</v>
      </c>
      <c r="H169" t="str">
        <f>_xlfn.XLOOKUP(tblSales[[#This Row],[Product]],Lookup_Tables!$F$5:$F$23,Lookup_Tables!$E$5:$E$23,"")</f>
        <v>Office Supplies</v>
      </c>
      <c r="I169" t="s">
        <v>54</v>
      </c>
      <c r="J169" s="11">
        <v>4</v>
      </c>
      <c r="K169" s="1">
        <f>_xlfn.XLOOKUP(tblSales[[#This Row],[Product]],Lookup_Tables!$F$5:$F$23,Lookup_Tables!$G$5:$G$23,"")</f>
        <v>210</v>
      </c>
      <c r="L169" s="12">
        <f>_xlfn.XLOOKUP(tblSales[[#This Row],[Customer Type]],Lookup_Tables!$B$19:$B$21,Lookup_Tables!$C$19:$C$21,0)</f>
        <v>0</v>
      </c>
      <c r="M169" t="s">
        <v>35</v>
      </c>
      <c r="N169" s="11" t="str">
        <f>"Q"&amp;ROUNDUP(MONTH(tblSales[[#This Row],[Date]])/3,0)</f>
        <v>Q4</v>
      </c>
      <c r="O169" s="11">
        <f>YEAR(tblSales[[#This Row],[Date]])</f>
        <v>2025</v>
      </c>
      <c r="P169" s="1">
        <f>tblSales[[#This Row],[Quantity]]*tblSales[[#This Row],[Unit Price]]</f>
        <v>840</v>
      </c>
      <c r="Q169" s="1">
        <f>tblSales[[#This Row],[Gross Sales]]*tblSales[[#This Row],[Discount%]]</f>
        <v>0</v>
      </c>
      <c r="R169" s="1">
        <f>tblSales[[#This Row],[Gross Sales]]-tblSales[[#This Row],[Discount Amount]]</f>
        <v>840</v>
      </c>
    </row>
    <row r="170" spans="1:18" x14ac:dyDescent="0.35">
      <c r="A170" t="str">
        <f t="shared" si="2"/>
        <v>ORD-2026-0169</v>
      </c>
      <c r="B170" s="2">
        <v>45962</v>
      </c>
      <c r="C170" t="str">
        <f>TEXT(tblSales[[#This Row],[Date]],"mmmm")</f>
        <v>November</v>
      </c>
      <c r="D170" t="s">
        <v>28</v>
      </c>
      <c r="E170" t="str">
        <f>_xlfn.XLOOKUP(tblSales[[#This Row],[Saleperson]],Lookup_Tables!$B$5:$B$16,Lookup_Tables!$C$5:$C$16)</f>
        <v>South</v>
      </c>
      <c r="F170" t="s">
        <v>65</v>
      </c>
      <c r="G170" t="str">
        <f>_xlfn.XLOOKUP(tblSales[[#This Row],[Customer]],Lookup_Tables!$I$5:$I$34,Lookup_Tables!$J$5:$J$34)</f>
        <v>Retail</v>
      </c>
      <c r="H170" t="str">
        <f>_xlfn.XLOOKUP(tblSales[[#This Row],[Product]],Lookup_Tables!$F$5:$F$23,Lookup_Tables!$E$5:$E$23,"")</f>
        <v>Electronics</v>
      </c>
      <c r="I170" t="s">
        <v>37</v>
      </c>
      <c r="J170" s="11">
        <v>9</v>
      </c>
      <c r="K170" s="1">
        <f>_xlfn.XLOOKUP(tblSales[[#This Row],[Product]],Lookup_Tables!$F$5:$F$23,Lookup_Tables!$G$5:$G$23,"")</f>
        <v>20000</v>
      </c>
      <c r="L170" s="12">
        <f>_xlfn.XLOOKUP(tblSales[[#This Row],[Customer Type]],Lookup_Tables!$B$19:$B$21,Lookup_Tables!$C$19:$C$21,0)</f>
        <v>0</v>
      </c>
      <c r="M170" t="s">
        <v>34</v>
      </c>
      <c r="N170" s="11" t="str">
        <f>"Q"&amp;ROUNDUP(MONTH(tblSales[[#This Row],[Date]])/3,0)</f>
        <v>Q4</v>
      </c>
      <c r="O170" s="11">
        <f>YEAR(tblSales[[#This Row],[Date]])</f>
        <v>2025</v>
      </c>
      <c r="P170" s="1">
        <f>tblSales[[#This Row],[Quantity]]*tblSales[[#This Row],[Unit Price]]</f>
        <v>180000</v>
      </c>
      <c r="Q170" s="1">
        <f>tblSales[[#This Row],[Gross Sales]]*tblSales[[#This Row],[Discount%]]</f>
        <v>0</v>
      </c>
      <c r="R170" s="1">
        <f>tblSales[[#This Row],[Gross Sales]]-tblSales[[#This Row],[Discount Amount]]</f>
        <v>180000</v>
      </c>
    </row>
    <row r="171" spans="1:18" x14ac:dyDescent="0.35">
      <c r="A171" t="str">
        <f t="shared" si="2"/>
        <v>ORD-2026-0170</v>
      </c>
      <c r="B171" s="2">
        <v>45963</v>
      </c>
      <c r="C171" t="str">
        <f>TEXT(tblSales[[#This Row],[Date]],"mmmm")</f>
        <v>November</v>
      </c>
      <c r="D171" t="s">
        <v>23</v>
      </c>
      <c r="E171" t="str">
        <f>_xlfn.XLOOKUP(tblSales[[#This Row],[Saleperson]],Lookup_Tables!$B$5:$B$16,Lookup_Tables!$C$5:$C$16)</f>
        <v>West</v>
      </c>
      <c r="F171" s="5" t="s">
        <v>70</v>
      </c>
      <c r="G171" t="str">
        <f>_xlfn.XLOOKUP(tblSales[[#This Row],[Customer]],Lookup_Tables!$I$5:$I$34,Lookup_Tables!$J$5:$J$34)</f>
        <v>Retail</v>
      </c>
      <c r="H171" t="str">
        <f>_xlfn.XLOOKUP(tblSales[[#This Row],[Product]],Lookup_Tables!$F$5:$F$23,Lookup_Tables!$E$5:$E$23,"")</f>
        <v>Furniture</v>
      </c>
      <c r="I171" t="s">
        <v>44</v>
      </c>
      <c r="J171" s="11">
        <v>5</v>
      </c>
      <c r="K171" s="1">
        <f>_xlfn.XLOOKUP(tblSales[[#This Row],[Product]],Lookup_Tables!$F$5:$F$23,Lookup_Tables!$G$5:$G$23,"")</f>
        <v>6900</v>
      </c>
      <c r="L171" s="12">
        <f>_xlfn.XLOOKUP(tblSales[[#This Row],[Customer Type]],Lookup_Tables!$B$19:$B$21,Lookup_Tables!$C$19:$C$21,0)</f>
        <v>0</v>
      </c>
      <c r="M171" t="s">
        <v>34</v>
      </c>
      <c r="N171" s="11" t="str">
        <f>"Q"&amp;ROUNDUP(MONTH(tblSales[[#This Row],[Date]])/3,0)</f>
        <v>Q4</v>
      </c>
      <c r="O171" s="11">
        <f>YEAR(tblSales[[#This Row],[Date]])</f>
        <v>2025</v>
      </c>
      <c r="P171" s="1">
        <f>tblSales[[#This Row],[Quantity]]*tblSales[[#This Row],[Unit Price]]</f>
        <v>34500</v>
      </c>
      <c r="Q171" s="1">
        <f>tblSales[[#This Row],[Gross Sales]]*tblSales[[#This Row],[Discount%]]</f>
        <v>0</v>
      </c>
      <c r="R171" s="1">
        <f>tblSales[[#This Row],[Gross Sales]]-tblSales[[#This Row],[Discount Amount]]</f>
        <v>34500</v>
      </c>
    </row>
    <row r="172" spans="1:18" x14ac:dyDescent="0.35">
      <c r="A172" t="str">
        <f t="shared" si="2"/>
        <v>ORD-2026-0171</v>
      </c>
      <c r="B172" s="2">
        <v>45963</v>
      </c>
      <c r="C172" t="str">
        <f>TEXT(tblSales[[#This Row],[Date]],"mmmm")</f>
        <v>November</v>
      </c>
      <c r="D172" t="s">
        <v>18</v>
      </c>
      <c r="E172" t="str">
        <f>_xlfn.XLOOKUP(tblSales[[#This Row],[Saleperson]],Lookup_Tables!$B$5:$B$16,Lookup_Tables!$C$5:$C$16)</f>
        <v>South</v>
      </c>
      <c r="F172" s="5" t="s">
        <v>67</v>
      </c>
      <c r="G172" t="str">
        <f>_xlfn.XLOOKUP(tblSales[[#This Row],[Customer]],Lookup_Tables!$I$5:$I$34,Lookup_Tables!$J$5:$J$34)</f>
        <v>Government</v>
      </c>
      <c r="H172" t="str">
        <f>_xlfn.XLOOKUP(tblSales[[#This Row],[Product]],Lookup_Tables!$F$5:$F$23,Lookup_Tables!$E$5:$E$23,"")</f>
        <v>Furniture</v>
      </c>
      <c r="I172" t="s">
        <v>43</v>
      </c>
      <c r="J172" s="11">
        <v>1</v>
      </c>
      <c r="K172" s="1">
        <f>_xlfn.XLOOKUP(tblSales[[#This Row],[Product]],Lookup_Tables!$F$5:$F$23,Lookup_Tables!$G$5:$G$23,"")</f>
        <v>4200</v>
      </c>
      <c r="L172" s="12">
        <f>_xlfn.XLOOKUP(tblSales[[#This Row],[Customer Type]],Lookup_Tables!$B$19:$B$21,Lookup_Tables!$C$19:$C$21,0)</f>
        <v>0.15</v>
      </c>
      <c r="M172" t="s">
        <v>34</v>
      </c>
      <c r="N172" s="11" t="str">
        <f>"Q"&amp;ROUNDUP(MONTH(tblSales[[#This Row],[Date]])/3,0)</f>
        <v>Q4</v>
      </c>
      <c r="O172" s="11">
        <f>YEAR(tblSales[[#This Row],[Date]])</f>
        <v>2025</v>
      </c>
      <c r="P172" s="1">
        <f>tblSales[[#This Row],[Quantity]]*tblSales[[#This Row],[Unit Price]]</f>
        <v>4200</v>
      </c>
      <c r="Q172" s="1">
        <f>tblSales[[#This Row],[Gross Sales]]*tblSales[[#This Row],[Discount%]]</f>
        <v>630</v>
      </c>
      <c r="R172" s="1">
        <f>tblSales[[#This Row],[Gross Sales]]-tblSales[[#This Row],[Discount Amount]]</f>
        <v>3570</v>
      </c>
    </row>
    <row r="173" spans="1:18" x14ac:dyDescent="0.35">
      <c r="A173" t="str">
        <f t="shared" si="2"/>
        <v>ORD-2026-0172</v>
      </c>
      <c r="B173" s="2">
        <v>45963</v>
      </c>
      <c r="C173" t="str">
        <f>TEXT(tblSales[[#This Row],[Date]],"mmmm")</f>
        <v>November</v>
      </c>
      <c r="D173" t="s">
        <v>25</v>
      </c>
      <c r="E173" t="str">
        <f>_xlfn.XLOOKUP(tblSales[[#This Row],[Saleperson]],Lookup_Tables!$B$5:$B$16,Lookup_Tables!$C$5:$C$16)</f>
        <v>West</v>
      </c>
      <c r="F173" s="5" t="s">
        <v>71</v>
      </c>
      <c r="G173" t="str">
        <f>_xlfn.XLOOKUP(tblSales[[#This Row],[Customer]],Lookup_Tables!$I$5:$I$34,Lookup_Tables!$J$5:$J$34)</f>
        <v>Government</v>
      </c>
      <c r="H173" t="str">
        <f>_xlfn.XLOOKUP(tblSales[[#This Row],[Product]],Lookup_Tables!$F$5:$F$23,Lookup_Tables!$E$5:$E$23,"")</f>
        <v>Electronics</v>
      </c>
      <c r="I173" t="s">
        <v>38</v>
      </c>
      <c r="J173" s="11">
        <v>10</v>
      </c>
      <c r="K173" s="1">
        <f>_xlfn.XLOOKUP(tblSales[[#This Row],[Product]],Lookup_Tables!$F$5:$F$23,Lookup_Tables!$G$5:$G$23,"")</f>
        <v>6000</v>
      </c>
      <c r="L173" s="12">
        <f>_xlfn.XLOOKUP(tblSales[[#This Row],[Customer Type]],Lookup_Tables!$B$19:$B$21,Lookup_Tables!$C$19:$C$21,0)</f>
        <v>0.15</v>
      </c>
      <c r="M173" t="s">
        <v>33</v>
      </c>
      <c r="N173" s="11" t="str">
        <f>"Q"&amp;ROUNDUP(MONTH(tblSales[[#This Row],[Date]])/3,0)</f>
        <v>Q4</v>
      </c>
      <c r="O173" s="11">
        <f>YEAR(tblSales[[#This Row],[Date]])</f>
        <v>2025</v>
      </c>
      <c r="P173" s="1">
        <f>tblSales[[#This Row],[Quantity]]*tblSales[[#This Row],[Unit Price]]</f>
        <v>60000</v>
      </c>
      <c r="Q173" s="1">
        <f>tblSales[[#This Row],[Gross Sales]]*tblSales[[#This Row],[Discount%]]</f>
        <v>9000</v>
      </c>
      <c r="R173" s="1">
        <f>tblSales[[#This Row],[Gross Sales]]-tblSales[[#This Row],[Discount Amount]]</f>
        <v>51000</v>
      </c>
    </row>
    <row r="174" spans="1:18" x14ac:dyDescent="0.35">
      <c r="A174" t="str">
        <f t="shared" si="2"/>
        <v>ORD-2026-0173</v>
      </c>
      <c r="B174" s="2">
        <v>45963</v>
      </c>
      <c r="C174" t="str">
        <f>TEXT(tblSales[[#This Row],[Date]],"mmmm")</f>
        <v>November</v>
      </c>
      <c r="D174" t="s">
        <v>21</v>
      </c>
      <c r="E174" t="str">
        <f>_xlfn.XLOOKUP(tblSales[[#This Row],[Saleperson]],Lookup_Tables!$B$5:$B$16,Lookup_Tables!$C$5:$C$16)</f>
        <v>South</v>
      </c>
      <c r="F174" s="5" t="s">
        <v>69</v>
      </c>
      <c r="G174" t="str">
        <f>_xlfn.XLOOKUP(tblSales[[#This Row],[Customer]],Lookup_Tables!$I$5:$I$34,Lookup_Tables!$J$5:$J$34)</f>
        <v>Retail</v>
      </c>
      <c r="H174" t="str">
        <f>_xlfn.XLOOKUP(tblSales[[#This Row],[Product]],Lookup_Tables!$F$5:$F$23,Lookup_Tables!$E$5:$E$23,"")</f>
        <v>Electronics</v>
      </c>
      <c r="I174" t="s">
        <v>41</v>
      </c>
      <c r="J174" s="11">
        <v>8</v>
      </c>
      <c r="K174" s="1">
        <f>_xlfn.XLOOKUP(tblSales[[#This Row],[Product]],Lookup_Tables!$F$5:$F$23,Lookup_Tables!$G$5:$G$23,"")</f>
        <v>720</v>
      </c>
      <c r="L174" s="12">
        <f>_xlfn.XLOOKUP(tblSales[[#This Row],[Customer Type]],Lookup_Tables!$B$19:$B$21,Lookup_Tables!$C$19:$C$21,0)</f>
        <v>0</v>
      </c>
      <c r="M174" t="s">
        <v>35</v>
      </c>
      <c r="N174" s="11" t="str">
        <f>"Q"&amp;ROUNDUP(MONTH(tblSales[[#This Row],[Date]])/3,0)</f>
        <v>Q4</v>
      </c>
      <c r="O174" s="11">
        <f>YEAR(tblSales[[#This Row],[Date]])</f>
        <v>2025</v>
      </c>
      <c r="P174" s="1">
        <f>tblSales[[#This Row],[Quantity]]*tblSales[[#This Row],[Unit Price]]</f>
        <v>5760</v>
      </c>
      <c r="Q174" s="1">
        <f>tblSales[[#This Row],[Gross Sales]]*tblSales[[#This Row],[Discount%]]</f>
        <v>0</v>
      </c>
      <c r="R174" s="1">
        <f>tblSales[[#This Row],[Gross Sales]]-tblSales[[#This Row],[Discount Amount]]</f>
        <v>5760</v>
      </c>
    </row>
    <row r="175" spans="1:18" x14ac:dyDescent="0.35">
      <c r="A175" t="str">
        <f t="shared" si="2"/>
        <v>ORD-2026-0174</v>
      </c>
      <c r="B175" s="2">
        <v>45963</v>
      </c>
      <c r="C175" t="str">
        <f>TEXT(tblSales[[#This Row],[Date]],"mmmm")</f>
        <v>November</v>
      </c>
      <c r="D175" t="s">
        <v>19</v>
      </c>
      <c r="E175" t="str">
        <f>_xlfn.XLOOKUP(tblSales[[#This Row],[Saleperson]],Lookup_Tables!$B$5:$B$16,Lookup_Tables!$C$5:$C$16)</f>
        <v>West</v>
      </c>
      <c r="F175" t="s">
        <v>63</v>
      </c>
      <c r="G175" t="str">
        <f>_xlfn.XLOOKUP(tblSales[[#This Row],[Customer]],Lookup_Tables!$I$5:$I$34,Lookup_Tables!$J$5:$J$34)</f>
        <v>Retail</v>
      </c>
      <c r="H175" t="str">
        <f>_xlfn.XLOOKUP(tblSales[[#This Row],[Product]],Lookup_Tables!$F$5:$F$23,Lookup_Tables!$E$5:$E$23,"")</f>
        <v>Furniture</v>
      </c>
      <c r="I175" t="s">
        <v>46</v>
      </c>
      <c r="J175" s="11">
        <v>2</v>
      </c>
      <c r="K175" s="1">
        <f>_xlfn.XLOOKUP(tblSales[[#This Row],[Product]],Lookup_Tables!$F$5:$F$23,Lookup_Tables!$G$5:$G$23,"")</f>
        <v>3100</v>
      </c>
      <c r="L175" s="12">
        <f>_xlfn.XLOOKUP(tblSales[[#This Row],[Customer Type]],Lookup_Tables!$B$19:$B$21,Lookup_Tables!$C$19:$C$21,0)</f>
        <v>0</v>
      </c>
      <c r="M175" t="s">
        <v>34</v>
      </c>
      <c r="N175" s="11" t="str">
        <f>"Q"&amp;ROUNDUP(MONTH(tblSales[[#This Row],[Date]])/3,0)</f>
        <v>Q4</v>
      </c>
      <c r="O175" s="11">
        <f>YEAR(tblSales[[#This Row],[Date]])</f>
        <v>2025</v>
      </c>
      <c r="P175" s="1">
        <f>tblSales[[#This Row],[Quantity]]*tblSales[[#This Row],[Unit Price]]</f>
        <v>6200</v>
      </c>
      <c r="Q175" s="1">
        <f>tblSales[[#This Row],[Gross Sales]]*tblSales[[#This Row],[Discount%]]</f>
        <v>0</v>
      </c>
      <c r="R175" s="1">
        <f>tblSales[[#This Row],[Gross Sales]]-tblSales[[#This Row],[Discount Amount]]</f>
        <v>6200</v>
      </c>
    </row>
    <row r="176" spans="1:18" x14ac:dyDescent="0.35">
      <c r="A176" t="str">
        <f t="shared" si="2"/>
        <v>ORD-2026-0175</v>
      </c>
      <c r="B176" s="2">
        <v>45963</v>
      </c>
      <c r="C176" t="str">
        <f>TEXT(tblSales[[#This Row],[Date]],"mmmm")</f>
        <v>November</v>
      </c>
      <c r="D176" t="s">
        <v>28</v>
      </c>
      <c r="E176" t="str">
        <f>_xlfn.XLOOKUP(tblSales[[#This Row],[Saleperson]],Lookup_Tables!$B$5:$B$16,Lookup_Tables!$C$5:$C$16)</f>
        <v>South</v>
      </c>
      <c r="F176" s="5" t="s">
        <v>68</v>
      </c>
      <c r="G176" t="str">
        <f>_xlfn.XLOOKUP(tblSales[[#This Row],[Customer]],Lookup_Tables!$I$5:$I$34,Lookup_Tables!$J$5:$J$34)</f>
        <v>Government</v>
      </c>
      <c r="H176" t="str">
        <f>_xlfn.XLOOKUP(tblSales[[#This Row],[Product]],Lookup_Tables!$F$5:$F$23,Lookup_Tables!$E$5:$E$23,"")</f>
        <v>Office Supplies</v>
      </c>
      <c r="I176" t="s">
        <v>52</v>
      </c>
      <c r="J176" s="11">
        <v>6</v>
      </c>
      <c r="K176" s="1">
        <f>_xlfn.XLOOKUP(tblSales[[#This Row],[Product]],Lookup_Tables!$F$5:$F$23,Lookup_Tables!$G$5:$G$23,"")</f>
        <v>60</v>
      </c>
      <c r="L176" s="12">
        <f>_xlfn.XLOOKUP(tblSales[[#This Row],[Customer Type]],Lookup_Tables!$B$19:$B$21,Lookup_Tables!$C$19:$C$21,0)</f>
        <v>0.15</v>
      </c>
      <c r="M176" t="s">
        <v>32</v>
      </c>
      <c r="N176" s="11" t="str">
        <f>"Q"&amp;ROUNDUP(MONTH(tblSales[[#This Row],[Date]])/3,0)</f>
        <v>Q4</v>
      </c>
      <c r="O176" s="11">
        <f>YEAR(tblSales[[#This Row],[Date]])</f>
        <v>2025</v>
      </c>
      <c r="P176" s="1">
        <f>tblSales[[#This Row],[Quantity]]*tblSales[[#This Row],[Unit Price]]</f>
        <v>360</v>
      </c>
      <c r="Q176" s="1">
        <f>tblSales[[#This Row],[Gross Sales]]*tblSales[[#This Row],[Discount%]]</f>
        <v>54</v>
      </c>
      <c r="R176" s="1">
        <f>tblSales[[#This Row],[Gross Sales]]-tblSales[[#This Row],[Discount Amount]]</f>
        <v>306</v>
      </c>
    </row>
    <row r="177" spans="1:18" x14ac:dyDescent="0.35">
      <c r="A177" t="str">
        <f t="shared" si="2"/>
        <v>ORD-2026-0176</v>
      </c>
      <c r="B177" s="2">
        <v>45963</v>
      </c>
      <c r="C177" t="str">
        <f>TEXT(tblSales[[#This Row],[Date]],"mmmm")</f>
        <v>November</v>
      </c>
      <c r="D177" t="s">
        <v>24</v>
      </c>
      <c r="E177" t="str">
        <f>_xlfn.XLOOKUP(tblSales[[#This Row],[Saleperson]],Lookup_Tables!$B$5:$B$16,Lookup_Tables!$C$5:$C$16)</f>
        <v>South</v>
      </c>
      <c r="F177" s="5" t="s">
        <v>78</v>
      </c>
      <c r="G177" t="str">
        <f>_xlfn.XLOOKUP(tblSales[[#This Row],[Customer]],Lookup_Tables!$I$5:$I$34,Lookup_Tables!$J$5:$J$34)</f>
        <v>Retail</v>
      </c>
      <c r="H177" t="str">
        <f>_xlfn.XLOOKUP(tblSales[[#This Row],[Product]],Lookup_Tables!$F$5:$F$23,Lookup_Tables!$E$5:$E$23,"")</f>
        <v>Furniture</v>
      </c>
      <c r="I177" t="s">
        <v>47</v>
      </c>
      <c r="J177" s="11">
        <v>3</v>
      </c>
      <c r="K177" s="1">
        <f>_xlfn.XLOOKUP(tblSales[[#This Row],[Product]],Lookup_Tables!$F$5:$F$23,Lookup_Tables!$G$5:$G$23,"")</f>
        <v>7500</v>
      </c>
      <c r="L177" s="12">
        <f>_xlfn.XLOOKUP(tblSales[[#This Row],[Customer Type]],Lookup_Tables!$B$19:$B$21,Lookup_Tables!$C$19:$C$21,0)</f>
        <v>0</v>
      </c>
      <c r="M177" t="s">
        <v>33</v>
      </c>
      <c r="N177" s="11" t="str">
        <f>"Q"&amp;ROUNDUP(MONTH(tblSales[[#This Row],[Date]])/3,0)</f>
        <v>Q4</v>
      </c>
      <c r="O177" s="11">
        <f>YEAR(tblSales[[#This Row],[Date]])</f>
        <v>2025</v>
      </c>
      <c r="P177" s="1">
        <f>tblSales[[#This Row],[Quantity]]*tblSales[[#This Row],[Unit Price]]</f>
        <v>22500</v>
      </c>
      <c r="Q177" s="1">
        <f>tblSales[[#This Row],[Gross Sales]]*tblSales[[#This Row],[Discount%]]</f>
        <v>0</v>
      </c>
      <c r="R177" s="1">
        <f>tblSales[[#This Row],[Gross Sales]]-tblSales[[#This Row],[Discount Amount]]</f>
        <v>22500</v>
      </c>
    </row>
    <row r="178" spans="1:18" x14ac:dyDescent="0.35">
      <c r="A178" t="str">
        <f t="shared" si="2"/>
        <v>ORD-2026-0177</v>
      </c>
      <c r="B178" s="2">
        <v>45964</v>
      </c>
      <c r="C178" t="str">
        <f>TEXT(tblSales[[#This Row],[Date]],"mmmm")</f>
        <v>November</v>
      </c>
      <c r="D178" t="s">
        <v>26</v>
      </c>
      <c r="E178" t="str">
        <f>_xlfn.XLOOKUP(tblSales[[#This Row],[Saleperson]],Lookup_Tables!$B$5:$B$16,Lookup_Tables!$C$5:$C$16)</f>
        <v>North</v>
      </c>
      <c r="F178" s="5" t="s">
        <v>79</v>
      </c>
      <c r="G178" t="str">
        <f>_xlfn.XLOOKUP(tblSales[[#This Row],[Customer]],Lookup_Tables!$I$5:$I$34,Lookup_Tables!$J$5:$J$34)</f>
        <v>Retail</v>
      </c>
      <c r="H178" t="str">
        <f>_xlfn.XLOOKUP(tblSales[[#This Row],[Product]],Lookup_Tables!$F$5:$F$23,Lookup_Tables!$E$5:$E$23,"")</f>
        <v>Electronics</v>
      </c>
      <c r="I178" t="s">
        <v>37</v>
      </c>
      <c r="J178" s="11">
        <v>10</v>
      </c>
      <c r="K178" s="1">
        <f>_xlfn.XLOOKUP(tblSales[[#This Row],[Product]],Lookup_Tables!$F$5:$F$23,Lookup_Tables!$G$5:$G$23,"")</f>
        <v>20000</v>
      </c>
      <c r="L178" s="12">
        <f>_xlfn.XLOOKUP(tblSales[[#This Row],[Customer Type]],Lookup_Tables!$B$19:$B$21,Lookup_Tables!$C$19:$C$21,0)</f>
        <v>0</v>
      </c>
      <c r="M178" t="s">
        <v>33</v>
      </c>
      <c r="N178" s="11" t="str">
        <f>"Q"&amp;ROUNDUP(MONTH(tblSales[[#This Row],[Date]])/3,0)</f>
        <v>Q4</v>
      </c>
      <c r="O178" s="11">
        <f>YEAR(tblSales[[#This Row],[Date]])</f>
        <v>2025</v>
      </c>
      <c r="P178" s="1">
        <f>tblSales[[#This Row],[Quantity]]*tblSales[[#This Row],[Unit Price]]</f>
        <v>200000</v>
      </c>
      <c r="Q178" s="1">
        <f>tblSales[[#This Row],[Gross Sales]]*tblSales[[#This Row],[Discount%]]</f>
        <v>0</v>
      </c>
      <c r="R178" s="1">
        <f>tblSales[[#This Row],[Gross Sales]]-tblSales[[#This Row],[Discount Amount]]</f>
        <v>200000</v>
      </c>
    </row>
    <row r="179" spans="1:18" x14ac:dyDescent="0.35">
      <c r="A179" t="str">
        <f t="shared" si="2"/>
        <v>ORD-2026-0178</v>
      </c>
      <c r="B179" s="2">
        <v>45965</v>
      </c>
      <c r="C179" t="str">
        <f>TEXT(tblSales[[#This Row],[Date]],"mmmm")</f>
        <v>November</v>
      </c>
      <c r="D179" t="s">
        <v>22</v>
      </c>
      <c r="E179" t="str">
        <f>_xlfn.XLOOKUP(tblSales[[#This Row],[Saleperson]],Lookup_Tables!$B$5:$B$16,Lookup_Tables!$C$5:$C$16)</f>
        <v>North</v>
      </c>
      <c r="F179" t="s">
        <v>63</v>
      </c>
      <c r="G179" t="str">
        <f>_xlfn.XLOOKUP(tblSales[[#This Row],[Customer]],Lookup_Tables!$I$5:$I$34,Lookup_Tables!$J$5:$J$34)</f>
        <v>Retail</v>
      </c>
      <c r="H179" t="str">
        <f>_xlfn.XLOOKUP(tblSales[[#This Row],[Product]],Lookup_Tables!$F$5:$F$23,Lookup_Tables!$E$5:$E$23,"")</f>
        <v>Electronics</v>
      </c>
      <c r="I179" t="s">
        <v>38</v>
      </c>
      <c r="J179" s="11">
        <v>4</v>
      </c>
      <c r="K179" s="1">
        <f>_xlfn.XLOOKUP(tblSales[[#This Row],[Product]],Lookup_Tables!$F$5:$F$23,Lookup_Tables!$G$5:$G$23,"")</f>
        <v>6000</v>
      </c>
      <c r="L179" s="12">
        <f>_xlfn.XLOOKUP(tblSales[[#This Row],[Customer Type]],Lookup_Tables!$B$19:$B$21,Lookup_Tables!$C$19:$C$21,0)</f>
        <v>0</v>
      </c>
      <c r="M179" t="s">
        <v>32</v>
      </c>
      <c r="N179" s="11" t="str">
        <f>"Q"&amp;ROUNDUP(MONTH(tblSales[[#This Row],[Date]])/3,0)</f>
        <v>Q4</v>
      </c>
      <c r="O179" s="11">
        <f>YEAR(tblSales[[#This Row],[Date]])</f>
        <v>2025</v>
      </c>
      <c r="P179" s="1">
        <f>tblSales[[#This Row],[Quantity]]*tblSales[[#This Row],[Unit Price]]</f>
        <v>24000</v>
      </c>
      <c r="Q179" s="1">
        <f>tblSales[[#This Row],[Gross Sales]]*tblSales[[#This Row],[Discount%]]</f>
        <v>0</v>
      </c>
      <c r="R179" s="1">
        <f>tblSales[[#This Row],[Gross Sales]]-tblSales[[#This Row],[Discount Amount]]</f>
        <v>24000</v>
      </c>
    </row>
    <row r="180" spans="1:18" x14ac:dyDescent="0.35">
      <c r="A180" t="str">
        <f t="shared" si="2"/>
        <v>ORD-2026-0179</v>
      </c>
      <c r="B180" s="2">
        <v>45966</v>
      </c>
      <c r="C180" t="str">
        <f>TEXT(tblSales[[#This Row],[Date]],"mmmm")</f>
        <v>November</v>
      </c>
      <c r="D180" t="s">
        <v>28</v>
      </c>
      <c r="E180" t="str">
        <f>_xlfn.XLOOKUP(tblSales[[#This Row],[Saleperson]],Lookup_Tables!$B$5:$B$16,Lookup_Tables!$C$5:$C$16)</f>
        <v>South</v>
      </c>
      <c r="F180" s="5" t="s">
        <v>82</v>
      </c>
      <c r="G180" t="str">
        <f>_xlfn.XLOOKUP(tblSales[[#This Row],[Customer]],Lookup_Tables!$I$5:$I$34,Lookup_Tables!$J$5:$J$34)</f>
        <v>Retail</v>
      </c>
      <c r="H180" t="str">
        <f>_xlfn.XLOOKUP(tblSales[[#This Row],[Product]],Lookup_Tables!$F$5:$F$23,Lookup_Tables!$E$5:$E$23,"")</f>
        <v>Office Supplies</v>
      </c>
      <c r="I180" t="s">
        <v>54</v>
      </c>
      <c r="J180" s="11">
        <v>4</v>
      </c>
      <c r="K180" s="1">
        <f>_xlfn.XLOOKUP(tblSales[[#This Row],[Product]],Lookup_Tables!$F$5:$F$23,Lookup_Tables!$G$5:$G$23,"")</f>
        <v>210</v>
      </c>
      <c r="L180" s="12">
        <f>_xlfn.XLOOKUP(tblSales[[#This Row],[Customer Type]],Lookup_Tables!$B$19:$B$21,Lookup_Tables!$C$19:$C$21,0)</f>
        <v>0</v>
      </c>
      <c r="M180" t="s">
        <v>33</v>
      </c>
      <c r="N180" s="11" t="str">
        <f>"Q"&amp;ROUNDUP(MONTH(tblSales[[#This Row],[Date]])/3,0)</f>
        <v>Q4</v>
      </c>
      <c r="O180" s="11">
        <f>YEAR(tblSales[[#This Row],[Date]])</f>
        <v>2025</v>
      </c>
      <c r="P180" s="1">
        <f>tblSales[[#This Row],[Quantity]]*tblSales[[#This Row],[Unit Price]]</f>
        <v>840</v>
      </c>
      <c r="Q180" s="1">
        <f>tblSales[[#This Row],[Gross Sales]]*tblSales[[#This Row],[Discount%]]</f>
        <v>0</v>
      </c>
      <c r="R180" s="1">
        <f>tblSales[[#This Row],[Gross Sales]]-tblSales[[#This Row],[Discount Amount]]</f>
        <v>840</v>
      </c>
    </row>
    <row r="181" spans="1:18" x14ac:dyDescent="0.35">
      <c r="A181" t="str">
        <f t="shared" si="2"/>
        <v>ORD-2026-0180</v>
      </c>
      <c r="B181" s="2">
        <v>45966</v>
      </c>
      <c r="C181" t="str">
        <f>TEXT(tblSales[[#This Row],[Date]],"mmmm")</f>
        <v>November</v>
      </c>
      <c r="D181" t="s">
        <v>20</v>
      </c>
      <c r="E181" t="str">
        <f>_xlfn.XLOOKUP(tblSales[[#This Row],[Saleperson]],Lookup_Tables!$B$5:$B$16,Lookup_Tables!$C$5:$C$16)</f>
        <v>East</v>
      </c>
      <c r="F181" s="5" t="s">
        <v>70</v>
      </c>
      <c r="G181" t="str">
        <f>_xlfn.XLOOKUP(tblSales[[#This Row],[Customer]],Lookup_Tables!$I$5:$I$34,Lookup_Tables!$J$5:$J$34)</f>
        <v>Retail</v>
      </c>
      <c r="H181" t="str">
        <f>_xlfn.XLOOKUP(tblSales[[#This Row],[Product]],Lookup_Tables!$F$5:$F$23,Lookup_Tables!$E$5:$E$23,"")</f>
        <v>Furniture</v>
      </c>
      <c r="I181" t="s">
        <v>45</v>
      </c>
      <c r="J181" s="11">
        <v>2</v>
      </c>
      <c r="K181" s="1">
        <f>_xlfn.XLOOKUP(tblSales[[#This Row],[Product]],Lookup_Tables!$F$5:$F$23,Lookup_Tables!$G$5:$G$23,"")</f>
        <v>5200</v>
      </c>
      <c r="L181" s="12">
        <f>_xlfn.XLOOKUP(tblSales[[#This Row],[Customer Type]],Lookup_Tables!$B$19:$B$21,Lookup_Tables!$C$19:$C$21,0)</f>
        <v>0</v>
      </c>
      <c r="M181" t="s">
        <v>32</v>
      </c>
      <c r="N181" s="11" t="str">
        <f>"Q"&amp;ROUNDUP(MONTH(tblSales[[#This Row],[Date]])/3,0)</f>
        <v>Q4</v>
      </c>
      <c r="O181" s="11">
        <f>YEAR(tblSales[[#This Row],[Date]])</f>
        <v>2025</v>
      </c>
      <c r="P181" s="1">
        <f>tblSales[[#This Row],[Quantity]]*tblSales[[#This Row],[Unit Price]]</f>
        <v>10400</v>
      </c>
      <c r="Q181" s="1">
        <f>tblSales[[#This Row],[Gross Sales]]*tblSales[[#This Row],[Discount%]]</f>
        <v>0</v>
      </c>
      <c r="R181" s="1">
        <f>tblSales[[#This Row],[Gross Sales]]-tblSales[[#This Row],[Discount Amount]]</f>
        <v>10400</v>
      </c>
    </row>
    <row r="182" spans="1:18" x14ac:dyDescent="0.35">
      <c r="A182" t="str">
        <f t="shared" si="2"/>
        <v>ORD-2026-0181</v>
      </c>
      <c r="B182" s="2">
        <v>45966</v>
      </c>
      <c r="C182" t="str">
        <f>TEXT(tblSales[[#This Row],[Date]],"mmmm")</f>
        <v>November</v>
      </c>
      <c r="D182" t="s">
        <v>27</v>
      </c>
      <c r="E182" t="str">
        <f>_xlfn.XLOOKUP(tblSales[[#This Row],[Saleperson]],Lookup_Tables!$B$5:$B$16,Lookup_Tables!$C$5:$C$16)</f>
        <v>East</v>
      </c>
      <c r="F182" s="5" t="s">
        <v>76</v>
      </c>
      <c r="G182" t="str">
        <f>_xlfn.XLOOKUP(tblSales[[#This Row],[Customer]],Lookup_Tables!$I$5:$I$34,Lookup_Tables!$J$5:$J$34)</f>
        <v>Retail</v>
      </c>
      <c r="H182" t="str">
        <f>_xlfn.XLOOKUP(tblSales[[#This Row],[Product]],Lookup_Tables!$F$5:$F$23,Lookup_Tables!$E$5:$E$23,"")</f>
        <v>Office Supplies</v>
      </c>
      <c r="I182" t="s">
        <v>57</v>
      </c>
      <c r="J182" s="11">
        <v>4</v>
      </c>
      <c r="K182" s="1">
        <f>_xlfn.XLOOKUP(tblSales[[#This Row],[Product]],Lookup_Tables!$F$5:$F$23,Lookup_Tables!$G$5:$G$23,"")</f>
        <v>5000</v>
      </c>
      <c r="L182" s="6">
        <f>_xlfn.XLOOKUP(tblSales[[#This Row],[Customer Type]],Lookup_Tables!$B$19:$B$21,Lookup_Tables!$C$19:$C$21,0)</f>
        <v>0</v>
      </c>
      <c r="M182" t="s">
        <v>32</v>
      </c>
      <c r="N182" s="11" t="str">
        <f>"Q"&amp;ROUNDUP(MONTH(tblSales[[#This Row],[Date]])/3,0)</f>
        <v>Q4</v>
      </c>
      <c r="O182" s="11">
        <f>YEAR(tblSales[[#This Row],[Date]])</f>
        <v>2025</v>
      </c>
      <c r="P182" s="1">
        <f>tblSales[[#This Row],[Quantity]]*tblSales[[#This Row],[Unit Price]]</f>
        <v>20000</v>
      </c>
      <c r="Q182" s="1">
        <f>tblSales[[#This Row],[Gross Sales]]*tblSales[[#This Row],[Discount%]]</f>
        <v>0</v>
      </c>
      <c r="R182" s="1">
        <f>tblSales[[#This Row],[Gross Sales]]-tblSales[[#This Row],[Discount Amount]]</f>
        <v>20000</v>
      </c>
    </row>
    <row r="183" spans="1:18" x14ac:dyDescent="0.35">
      <c r="A183" t="str">
        <f t="shared" si="2"/>
        <v>ORD-2026-0182</v>
      </c>
      <c r="B183" s="2">
        <v>45967</v>
      </c>
      <c r="C183" t="str">
        <f>TEXT(tblSales[[#This Row],[Date]],"mmmm")</f>
        <v>November</v>
      </c>
      <c r="D183" t="s">
        <v>28</v>
      </c>
      <c r="E183" t="str">
        <f>_xlfn.XLOOKUP(tblSales[[#This Row],[Saleperson]],Lookup_Tables!$B$5:$B$16,Lookup_Tables!$C$5:$C$16)</f>
        <v>South</v>
      </c>
      <c r="F183" s="5" t="s">
        <v>72</v>
      </c>
      <c r="G183" t="str">
        <f>_xlfn.XLOOKUP(tblSales[[#This Row],[Customer]],Lookup_Tables!$I$5:$I$34,Lookup_Tables!$J$5:$J$34)</f>
        <v>Retail</v>
      </c>
      <c r="H183" t="str">
        <f>_xlfn.XLOOKUP(tblSales[[#This Row],[Product]],Lookup_Tables!$F$5:$F$23,Lookup_Tables!$E$5:$E$23,"")</f>
        <v>Office Supplies</v>
      </c>
      <c r="I183" t="s">
        <v>51</v>
      </c>
      <c r="J183" s="11">
        <v>1</v>
      </c>
      <c r="K183" s="1">
        <f>_xlfn.XLOOKUP(tblSales[[#This Row],[Product]],Lookup_Tables!$F$5:$F$23,Lookup_Tables!$G$5:$G$23,"")</f>
        <v>90</v>
      </c>
      <c r="L183" s="12">
        <f>_xlfn.XLOOKUP(tblSales[[#This Row],[Customer Type]],Lookup_Tables!$B$19:$B$21,Lookup_Tables!$C$19:$C$21,0)</f>
        <v>0</v>
      </c>
      <c r="M183" t="s">
        <v>35</v>
      </c>
      <c r="N183" s="11" t="str">
        <f>"Q"&amp;ROUNDUP(MONTH(tblSales[[#This Row],[Date]])/3,0)</f>
        <v>Q4</v>
      </c>
      <c r="O183" s="11">
        <f>YEAR(tblSales[[#This Row],[Date]])</f>
        <v>2025</v>
      </c>
      <c r="P183" s="1">
        <f>tblSales[[#This Row],[Quantity]]*tblSales[[#This Row],[Unit Price]]</f>
        <v>90</v>
      </c>
      <c r="Q183" s="1">
        <f>tblSales[[#This Row],[Gross Sales]]*tblSales[[#This Row],[Discount%]]</f>
        <v>0</v>
      </c>
      <c r="R183" s="1">
        <f>tblSales[[#This Row],[Gross Sales]]-tblSales[[#This Row],[Discount Amount]]</f>
        <v>90</v>
      </c>
    </row>
    <row r="184" spans="1:18" x14ac:dyDescent="0.35">
      <c r="A184" t="str">
        <f t="shared" si="2"/>
        <v>ORD-2026-0183</v>
      </c>
      <c r="B184" s="2">
        <v>45968</v>
      </c>
      <c r="C184" t="str">
        <f>TEXT(tblSales[[#This Row],[Date]],"mmmm")</f>
        <v>November</v>
      </c>
      <c r="D184" t="s">
        <v>19</v>
      </c>
      <c r="E184" t="str">
        <f>_xlfn.XLOOKUP(tblSales[[#This Row],[Saleperson]],Lookup_Tables!$B$5:$B$16,Lookup_Tables!$C$5:$C$16)</f>
        <v>West</v>
      </c>
      <c r="F184" s="5" t="s">
        <v>70</v>
      </c>
      <c r="G184" t="str">
        <f>_xlfn.XLOOKUP(tblSales[[#This Row],[Customer]],Lookup_Tables!$I$5:$I$34,Lookup_Tables!$J$5:$J$34)</f>
        <v>Retail</v>
      </c>
      <c r="H184" t="str">
        <f>_xlfn.XLOOKUP(tblSales[[#This Row],[Product]],Lookup_Tables!$F$5:$F$23,Lookup_Tables!$E$5:$E$23,"")</f>
        <v>Office Supplies</v>
      </c>
      <c r="I184" t="s">
        <v>51</v>
      </c>
      <c r="J184" s="11">
        <v>7</v>
      </c>
      <c r="K184" s="1">
        <f>_xlfn.XLOOKUP(tblSales[[#This Row],[Product]],Lookup_Tables!$F$5:$F$23,Lookup_Tables!$G$5:$G$23,"")</f>
        <v>90</v>
      </c>
      <c r="L184" s="12">
        <f>_xlfn.XLOOKUP(tblSales[[#This Row],[Customer Type]],Lookup_Tables!$B$19:$B$21,Lookup_Tables!$C$19:$C$21,0)</f>
        <v>0</v>
      </c>
      <c r="M184" t="s">
        <v>32</v>
      </c>
      <c r="N184" s="11" t="str">
        <f>"Q"&amp;ROUNDUP(MONTH(tblSales[[#This Row],[Date]])/3,0)</f>
        <v>Q4</v>
      </c>
      <c r="O184" s="11">
        <f>YEAR(tblSales[[#This Row],[Date]])</f>
        <v>2025</v>
      </c>
      <c r="P184" s="1">
        <f>tblSales[[#This Row],[Quantity]]*tblSales[[#This Row],[Unit Price]]</f>
        <v>630</v>
      </c>
      <c r="Q184" s="1">
        <f>tblSales[[#This Row],[Gross Sales]]*tblSales[[#This Row],[Discount%]]</f>
        <v>0</v>
      </c>
      <c r="R184" s="1">
        <f>tblSales[[#This Row],[Gross Sales]]-tblSales[[#This Row],[Discount Amount]]</f>
        <v>630</v>
      </c>
    </row>
    <row r="185" spans="1:18" x14ac:dyDescent="0.35">
      <c r="A185" t="str">
        <f t="shared" si="2"/>
        <v>ORD-2026-0184</v>
      </c>
      <c r="B185" s="2">
        <v>45968</v>
      </c>
      <c r="C185" t="str">
        <f>TEXT(tblSales[[#This Row],[Date]],"mmmm")</f>
        <v>November</v>
      </c>
      <c r="D185" t="s">
        <v>23</v>
      </c>
      <c r="E185" t="str">
        <f>_xlfn.XLOOKUP(tblSales[[#This Row],[Saleperson]],Lookup_Tables!$B$5:$B$16,Lookup_Tables!$C$5:$C$16)</f>
        <v>West</v>
      </c>
      <c r="F185" s="5" t="s">
        <v>68</v>
      </c>
      <c r="G185" t="str">
        <f>_xlfn.XLOOKUP(tblSales[[#This Row],[Customer]],Lookup_Tables!$I$5:$I$34,Lookup_Tables!$J$5:$J$34)</f>
        <v>Government</v>
      </c>
      <c r="H185" t="str">
        <f>_xlfn.XLOOKUP(tblSales[[#This Row],[Product]],Lookup_Tables!$F$5:$F$23,Lookup_Tables!$E$5:$E$23,"")</f>
        <v>Office Supplies</v>
      </c>
      <c r="I185" t="s">
        <v>54</v>
      </c>
      <c r="J185" s="11">
        <v>10</v>
      </c>
      <c r="K185" s="1">
        <f>_xlfn.XLOOKUP(tblSales[[#This Row],[Product]],Lookup_Tables!$F$5:$F$23,Lookup_Tables!$G$5:$G$23,"")</f>
        <v>210</v>
      </c>
      <c r="L185" s="12">
        <f>_xlfn.XLOOKUP(tblSales[[#This Row],[Customer Type]],Lookup_Tables!$B$19:$B$21,Lookup_Tables!$C$19:$C$21,0)</f>
        <v>0.15</v>
      </c>
      <c r="M185" t="s">
        <v>35</v>
      </c>
      <c r="N185" s="11" t="str">
        <f>"Q"&amp;ROUNDUP(MONTH(tblSales[[#This Row],[Date]])/3,0)</f>
        <v>Q4</v>
      </c>
      <c r="O185" s="11">
        <f>YEAR(tblSales[[#This Row],[Date]])</f>
        <v>2025</v>
      </c>
      <c r="P185" s="1">
        <f>tblSales[[#This Row],[Quantity]]*tblSales[[#This Row],[Unit Price]]</f>
        <v>2100</v>
      </c>
      <c r="Q185" s="1">
        <f>tblSales[[#This Row],[Gross Sales]]*tblSales[[#This Row],[Discount%]]</f>
        <v>315</v>
      </c>
      <c r="R185" s="1">
        <f>tblSales[[#This Row],[Gross Sales]]-tblSales[[#This Row],[Discount Amount]]</f>
        <v>1785</v>
      </c>
    </row>
    <row r="186" spans="1:18" x14ac:dyDescent="0.35">
      <c r="A186" t="str">
        <f t="shared" si="2"/>
        <v>ORD-2026-0185</v>
      </c>
      <c r="B186" s="2">
        <v>45968</v>
      </c>
      <c r="C186" t="str">
        <f>TEXT(tblSales[[#This Row],[Date]],"mmmm")</f>
        <v>November</v>
      </c>
      <c r="D186" t="s">
        <v>18</v>
      </c>
      <c r="E186" t="str">
        <f>_xlfn.XLOOKUP(tblSales[[#This Row],[Saleperson]],Lookup_Tables!$B$5:$B$16,Lookup_Tables!$C$5:$C$16)</f>
        <v>South</v>
      </c>
      <c r="F186" t="s">
        <v>65</v>
      </c>
      <c r="G186" t="str">
        <f>_xlfn.XLOOKUP(tblSales[[#This Row],[Customer]],Lookup_Tables!$I$5:$I$34,Lookup_Tables!$J$5:$J$34)</f>
        <v>Retail</v>
      </c>
      <c r="H186" t="str">
        <f>_xlfn.XLOOKUP(tblSales[[#This Row],[Product]],Lookup_Tables!$F$5:$F$23,Lookup_Tables!$E$5:$E$23,"")</f>
        <v>Office Supplies</v>
      </c>
      <c r="I186" t="s">
        <v>54</v>
      </c>
      <c r="J186" s="11">
        <v>5</v>
      </c>
      <c r="K186" s="1">
        <f>_xlfn.XLOOKUP(tblSales[[#This Row],[Product]],Lookup_Tables!$F$5:$F$23,Lookup_Tables!$G$5:$G$23,"")</f>
        <v>210</v>
      </c>
      <c r="L186" s="12">
        <f>_xlfn.XLOOKUP(tblSales[[#This Row],[Customer Type]],Lookup_Tables!$B$19:$B$21,Lookup_Tables!$C$19:$C$21,0)</f>
        <v>0</v>
      </c>
      <c r="M186" t="s">
        <v>33</v>
      </c>
      <c r="N186" s="11" t="str">
        <f>"Q"&amp;ROUNDUP(MONTH(tblSales[[#This Row],[Date]])/3,0)</f>
        <v>Q4</v>
      </c>
      <c r="O186" s="11">
        <f>YEAR(tblSales[[#This Row],[Date]])</f>
        <v>2025</v>
      </c>
      <c r="P186" s="1">
        <f>tblSales[[#This Row],[Quantity]]*tblSales[[#This Row],[Unit Price]]</f>
        <v>1050</v>
      </c>
      <c r="Q186" s="1">
        <f>tblSales[[#This Row],[Gross Sales]]*tblSales[[#This Row],[Discount%]]</f>
        <v>0</v>
      </c>
      <c r="R186" s="1">
        <f>tblSales[[#This Row],[Gross Sales]]-tblSales[[#This Row],[Discount Amount]]</f>
        <v>1050</v>
      </c>
    </row>
    <row r="187" spans="1:18" x14ac:dyDescent="0.35">
      <c r="A187" t="str">
        <f t="shared" si="2"/>
        <v>ORD-2026-0186</v>
      </c>
      <c r="B187" s="2">
        <v>45969</v>
      </c>
      <c r="C187" t="str">
        <f>TEXT(tblSales[[#This Row],[Date]],"mmmm")</f>
        <v>November</v>
      </c>
      <c r="D187" t="s">
        <v>25</v>
      </c>
      <c r="E187" t="str">
        <f>_xlfn.XLOOKUP(tblSales[[#This Row],[Saleperson]],Lookup_Tables!$B$5:$B$16,Lookup_Tables!$C$5:$C$16)</f>
        <v>West</v>
      </c>
      <c r="F187" t="s">
        <v>63</v>
      </c>
      <c r="G187" t="str">
        <f>_xlfn.XLOOKUP(tblSales[[#This Row],[Customer]],Lookup_Tables!$I$5:$I$34,Lookup_Tables!$J$5:$J$34)</f>
        <v>Retail</v>
      </c>
      <c r="H187" t="str">
        <f>_xlfn.XLOOKUP(tblSales[[#This Row],[Product]],Lookup_Tables!$F$5:$F$23,Lookup_Tables!$E$5:$E$23,"")</f>
        <v>Office Supplies</v>
      </c>
      <c r="I187" t="s">
        <v>52</v>
      </c>
      <c r="J187" s="11">
        <v>9</v>
      </c>
      <c r="K187" s="1">
        <f>_xlfn.XLOOKUP(tblSales[[#This Row],[Product]],Lookup_Tables!$F$5:$F$23,Lookup_Tables!$G$5:$G$23,"")</f>
        <v>60</v>
      </c>
      <c r="L187" s="12">
        <f>_xlfn.XLOOKUP(tblSales[[#This Row],[Customer Type]],Lookup_Tables!$B$19:$B$21,Lookup_Tables!$C$19:$C$21,0)</f>
        <v>0</v>
      </c>
      <c r="M187" t="s">
        <v>35</v>
      </c>
      <c r="N187" s="11" t="str">
        <f>"Q"&amp;ROUNDUP(MONTH(tblSales[[#This Row],[Date]])/3,0)</f>
        <v>Q4</v>
      </c>
      <c r="O187" s="11">
        <f>YEAR(tblSales[[#This Row],[Date]])</f>
        <v>2025</v>
      </c>
      <c r="P187" s="1">
        <f>tblSales[[#This Row],[Quantity]]*tblSales[[#This Row],[Unit Price]]</f>
        <v>540</v>
      </c>
      <c r="Q187" s="1">
        <f>tblSales[[#This Row],[Gross Sales]]*tblSales[[#This Row],[Discount%]]</f>
        <v>0</v>
      </c>
      <c r="R187" s="1">
        <f>tblSales[[#This Row],[Gross Sales]]-tblSales[[#This Row],[Discount Amount]]</f>
        <v>540</v>
      </c>
    </row>
    <row r="188" spans="1:18" x14ac:dyDescent="0.35">
      <c r="A188" t="str">
        <f t="shared" si="2"/>
        <v>ORD-2026-0187</v>
      </c>
      <c r="B188" s="2">
        <v>45970</v>
      </c>
      <c r="C188" t="str">
        <f>TEXT(tblSales[[#This Row],[Date]],"mmmm")</f>
        <v>November</v>
      </c>
      <c r="D188" t="s">
        <v>21</v>
      </c>
      <c r="E188" t="str">
        <f>_xlfn.XLOOKUP(tblSales[[#This Row],[Saleperson]],Lookup_Tables!$B$5:$B$16,Lookup_Tables!$C$5:$C$16)</f>
        <v>South</v>
      </c>
      <c r="F188" s="5" t="s">
        <v>69</v>
      </c>
      <c r="G188" t="str">
        <f>_xlfn.XLOOKUP(tblSales[[#This Row],[Customer]],Lookup_Tables!$I$5:$I$34,Lookup_Tables!$J$5:$J$34)</f>
        <v>Retail</v>
      </c>
      <c r="H188" t="str">
        <f>_xlfn.XLOOKUP(tblSales[[#This Row],[Product]],Lookup_Tables!$F$5:$F$23,Lookup_Tables!$E$5:$E$23,"")</f>
        <v>Furniture</v>
      </c>
      <c r="I188" t="s">
        <v>44</v>
      </c>
      <c r="J188" s="11">
        <v>9</v>
      </c>
      <c r="K188" s="1">
        <f>_xlfn.XLOOKUP(tblSales[[#This Row],[Product]],Lookup_Tables!$F$5:$F$23,Lookup_Tables!$G$5:$G$23,"")</f>
        <v>6900</v>
      </c>
      <c r="L188" s="12">
        <f>_xlfn.XLOOKUP(tblSales[[#This Row],[Customer Type]],Lookup_Tables!$B$19:$B$21,Lookup_Tables!$C$19:$C$21,0)</f>
        <v>0</v>
      </c>
      <c r="M188" t="s">
        <v>34</v>
      </c>
      <c r="N188" s="11" t="str">
        <f>"Q"&amp;ROUNDUP(MONTH(tblSales[[#This Row],[Date]])/3,0)</f>
        <v>Q4</v>
      </c>
      <c r="O188" s="11">
        <f>YEAR(tblSales[[#This Row],[Date]])</f>
        <v>2025</v>
      </c>
      <c r="P188" s="1">
        <f>tblSales[[#This Row],[Quantity]]*tblSales[[#This Row],[Unit Price]]</f>
        <v>62100</v>
      </c>
      <c r="Q188" s="1">
        <f>tblSales[[#This Row],[Gross Sales]]*tblSales[[#This Row],[Discount%]]</f>
        <v>0</v>
      </c>
      <c r="R188" s="1">
        <f>tblSales[[#This Row],[Gross Sales]]-tblSales[[#This Row],[Discount Amount]]</f>
        <v>62100</v>
      </c>
    </row>
    <row r="189" spans="1:18" x14ac:dyDescent="0.35">
      <c r="A189" t="str">
        <f t="shared" si="2"/>
        <v>ORD-2026-0188</v>
      </c>
      <c r="B189" s="2">
        <v>45971</v>
      </c>
      <c r="C189" t="str">
        <f>TEXT(tblSales[[#This Row],[Date]],"mmmm")</f>
        <v>November</v>
      </c>
      <c r="D189" t="s">
        <v>28</v>
      </c>
      <c r="E189" t="str">
        <f>_xlfn.XLOOKUP(tblSales[[#This Row],[Saleperson]],Lookup_Tables!$B$5:$B$16,Lookup_Tables!$C$5:$C$16)</f>
        <v>South</v>
      </c>
      <c r="F189" s="5" t="s">
        <v>67</v>
      </c>
      <c r="G189" t="str">
        <f>_xlfn.XLOOKUP(tblSales[[#This Row],[Customer]],Lookup_Tables!$I$5:$I$34,Lookup_Tables!$J$5:$J$34)</f>
        <v>Government</v>
      </c>
      <c r="H189" t="str">
        <f>_xlfn.XLOOKUP(tblSales[[#This Row],[Product]],Lookup_Tables!$F$5:$F$23,Lookup_Tables!$E$5:$E$23,"")</f>
        <v>Electronics</v>
      </c>
      <c r="I189" t="s">
        <v>38</v>
      </c>
      <c r="J189" s="11">
        <v>9</v>
      </c>
      <c r="K189" s="1">
        <f>_xlfn.XLOOKUP(tblSales[[#This Row],[Product]],Lookup_Tables!$F$5:$F$23,Lookup_Tables!$G$5:$G$23,"")</f>
        <v>6000</v>
      </c>
      <c r="L189" s="12">
        <f>_xlfn.XLOOKUP(tblSales[[#This Row],[Customer Type]],Lookup_Tables!$B$19:$B$21,Lookup_Tables!$C$19:$C$21,0)</f>
        <v>0.15</v>
      </c>
      <c r="M189" t="s">
        <v>33</v>
      </c>
      <c r="N189" s="11" t="str">
        <f>"Q"&amp;ROUNDUP(MONTH(tblSales[[#This Row],[Date]])/3,0)</f>
        <v>Q4</v>
      </c>
      <c r="O189" s="11">
        <f>YEAR(tblSales[[#This Row],[Date]])</f>
        <v>2025</v>
      </c>
      <c r="P189" s="1">
        <f>tblSales[[#This Row],[Quantity]]*tblSales[[#This Row],[Unit Price]]</f>
        <v>54000</v>
      </c>
      <c r="Q189" s="1">
        <f>tblSales[[#This Row],[Gross Sales]]*tblSales[[#This Row],[Discount%]]</f>
        <v>8100</v>
      </c>
      <c r="R189" s="1">
        <f>tblSales[[#This Row],[Gross Sales]]-tblSales[[#This Row],[Discount Amount]]</f>
        <v>45900</v>
      </c>
    </row>
    <row r="190" spans="1:18" x14ac:dyDescent="0.35">
      <c r="A190" t="str">
        <f t="shared" si="2"/>
        <v>ORD-2026-0189</v>
      </c>
      <c r="B190" s="2">
        <v>45971</v>
      </c>
      <c r="C190" t="str">
        <f>TEXT(tblSales[[#This Row],[Date]],"mmmm")</f>
        <v>November</v>
      </c>
      <c r="D190" t="s">
        <v>17</v>
      </c>
      <c r="E190" t="str">
        <f>_xlfn.XLOOKUP(tblSales[[#This Row],[Saleperson]],Lookup_Tables!$B$5:$B$16,Lookup_Tables!$C$5:$C$16)</f>
        <v>North</v>
      </c>
      <c r="F190" t="s">
        <v>65</v>
      </c>
      <c r="G190" t="str">
        <f>_xlfn.XLOOKUP(tblSales[[#This Row],[Customer]],Lookup_Tables!$I$5:$I$34,Lookup_Tables!$J$5:$J$34)</f>
        <v>Retail</v>
      </c>
      <c r="H190" t="str">
        <f>_xlfn.XLOOKUP(tblSales[[#This Row],[Product]],Lookup_Tables!$F$5:$F$23,Lookup_Tables!$E$5:$E$23,"")</f>
        <v>Furniture</v>
      </c>
      <c r="I190" t="s">
        <v>47</v>
      </c>
      <c r="J190" s="11">
        <v>3</v>
      </c>
      <c r="K190" s="1">
        <f>_xlfn.XLOOKUP(tblSales[[#This Row],[Product]],Lookup_Tables!$F$5:$F$23,Lookup_Tables!$G$5:$G$23,"")</f>
        <v>7500</v>
      </c>
      <c r="L190" s="12">
        <f>_xlfn.XLOOKUP(tblSales[[#This Row],[Customer Type]],Lookup_Tables!$B$19:$B$21,Lookup_Tables!$C$19:$C$21,0)</f>
        <v>0</v>
      </c>
      <c r="M190" t="s">
        <v>35</v>
      </c>
      <c r="N190" s="11" t="str">
        <f>"Q"&amp;ROUNDUP(MONTH(tblSales[[#This Row],[Date]])/3,0)</f>
        <v>Q4</v>
      </c>
      <c r="O190" s="11">
        <f>YEAR(tblSales[[#This Row],[Date]])</f>
        <v>2025</v>
      </c>
      <c r="P190" s="1">
        <f>tblSales[[#This Row],[Quantity]]*tblSales[[#This Row],[Unit Price]]</f>
        <v>22500</v>
      </c>
      <c r="Q190" s="1">
        <f>tblSales[[#This Row],[Gross Sales]]*tblSales[[#This Row],[Discount%]]</f>
        <v>0</v>
      </c>
      <c r="R190" s="1">
        <f>tblSales[[#This Row],[Gross Sales]]-tblSales[[#This Row],[Discount Amount]]</f>
        <v>22500</v>
      </c>
    </row>
    <row r="191" spans="1:18" x14ac:dyDescent="0.35">
      <c r="A191" t="str">
        <f t="shared" si="2"/>
        <v>ORD-2026-0190</v>
      </c>
      <c r="B191" s="2">
        <v>45971</v>
      </c>
      <c r="C191" t="str">
        <f>TEXT(tblSales[[#This Row],[Date]],"mmmm")</f>
        <v>November</v>
      </c>
      <c r="D191" t="s">
        <v>28</v>
      </c>
      <c r="E191" t="str">
        <f>_xlfn.XLOOKUP(tblSales[[#This Row],[Saleperson]],Lookup_Tables!$B$5:$B$16,Lookup_Tables!$C$5:$C$16)</f>
        <v>South</v>
      </c>
      <c r="F191" s="5" t="s">
        <v>71</v>
      </c>
      <c r="G191" t="str">
        <f>_xlfn.XLOOKUP(tblSales[[#This Row],[Customer]],Lookup_Tables!$I$5:$I$34,Lookup_Tables!$J$5:$J$34)</f>
        <v>Government</v>
      </c>
      <c r="H191" t="str">
        <f>_xlfn.XLOOKUP(tblSales[[#This Row],[Product]],Lookup_Tables!$F$5:$F$23,Lookup_Tables!$E$5:$E$23,"")</f>
        <v>Office Supplies</v>
      </c>
      <c r="I191" t="s">
        <v>49</v>
      </c>
      <c r="J191" s="11">
        <v>3</v>
      </c>
      <c r="K191" s="1">
        <f>_xlfn.XLOOKUP(tblSales[[#This Row],[Product]],Lookup_Tables!$F$5:$F$23,Lookup_Tables!$G$5:$G$23,"")</f>
        <v>120</v>
      </c>
      <c r="L191" s="12">
        <f>_xlfn.XLOOKUP(tblSales[[#This Row],[Customer Type]],Lookup_Tables!$B$19:$B$21,Lookup_Tables!$C$19:$C$21,0)</f>
        <v>0.15</v>
      </c>
      <c r="M191" t="s">
        <v>33</v>
      </c>
      <c r="N191" s="11" t="str">
        <f>"Q"&amp;ROUNDUP(MONTH(tblSales[[#This Row],[Date]])/3,0)</f>
        <v>Q4</v>
      </c>
      <c r="O191" s="11">
        <f>YEAR(tblSales[[#This Row],[Date]])</f>
        <v>2025</v>
      </c>
      <c r="P191" s="1">
        <f>tblSales[[#This Row],[Quantity]]*tblSales[[#This Row],[Unit Price]]</f>
        <v>360</v>
      </c>
      <c r="Q191" s="1">
        <f>tblSales[[#This Row],[Gross Sales]]*tblSales[[#This Row],[Discount%]]</f>
        <v>54</v>
      </c>
      <c r="R191" s="1">
        <f>tblSales[[#This Row],[Gross Sales]]-tblSales[[#This Row],[Discount Amount]]</f>
        <v>306</v>
      </c>
    </row>
    <row r="192" spans="1:18" x14ac:dyDescent="0.35">
      <c r="A192" t="str">
        <f t="shared" si="2"/>
        <v>ORD-2026-0191</v>
      </c>
      <c r="B192" s="2">
        <v>45971</v>
      </c>
      <c r="C192" t="str">
        <f>TEXT(tblSales[[#This Row],[Date]],"mmmm")</f>
        <v>November</v>
      </c>
      <c r="D192" t="s">
        <v>22</v>
      </c>
      <c r="E192" t="str">
        <f>_xlfn.XLOOKUP(tblSales[[#This Row],[Saleperson]],Lookup_Tables!$B$5:$B$16,Lookup_Tables!$C$5:$C$16)</f>
        <v>North</v>
      </c>
      <c r="F192" s="5" t="s">
        <v>86</v>
      </c>
      <c r="G192" t="str">
        <f>_xlfn.XLOOKUP(tblSales[[#This Row],[Customer]],Lookup_Tables!$I$5:$I$34,Lookup_Tables!$J$5:$J$34)</f>
        <v>Retail</v>
      </c>
      <c r="H192" t="str">
        <f>_xlfn.XLOOKUP(tblSales[[#This Row],[Product]],Lookup_Tables!$F$5:$F$23,Lookup_Tables!$E$5:$E$23,"")</f>
        <v>Electronics</v>
      </c>
      <c r="I192" t="s">
        <v>37</v>
      </c>
      <c r="J192" s="11">
        <v>4</v>
      </c>
      <c r="K192" s="1">
        <f>_xlfn.XLOOKUP(tblSales[[#This Row],[Product]],Lookup_Tables!$F$5:$F$23,Lookup_Tables!$G$5:$G$23,"")</f>
        <v>20000</v>
      </c>
      <c r="L192" s="12">
        <f>_xlfn.XLOOKUP(tblSales[[#This Row],[Customer Type]],Lookup_Tables!$B$19:$B$21,Lookup_Tables!$C$19:$C$21,0)</f>
        <v>0</v>
      </c>
      <c r="M192" t="s">
        <v>34</v>
      </c>
      <c r="N192" s="11" t="str">
        <f>"Q"&amp;ROUNDUP(MONTH(tblSales[[#This Row],[Date]])/3,0)</f>
        <v>Q4</v>
      </c>
      <c r="O192" s="11">
        <f>YEAR(tblSales[[#This Row],[Date]])</f>
        <v>2025</v>
      </c>
      <c r="P192" s="1">
        <f>tblSales[[#This Row],[Quantity]]*tblSales[[#This Row],[Unit Price]]</f>
        <v>80000</v>
      </c>
      <c r="Q192" s="1">
        <f>tblSales[[#This Row],[Gross Sales]]*tblSales[[#This Row],[Discount%]]</f>
        <v>0</v>
      </c>
      <c r="R192" s="1">
        <f>tblSales[[#This Row],[Gross Sales]]-tblSales[[#This Row],[Discount Amount]]</f>
        <v>80000</v>
      </c>
    </row>
    <row r="193" spans="1:18" x14ac:dyDescent="0.35">
      <c r="A193" t="str">
        <f t="shared" si="2"/>
        <v>ORD-2026-0192</v>
      </c>
      <c r="B193" s="2">
        <v>45971</v>
      </c>
      <c r="C193" t="str">
        <f>TEXT(tblSales[[#This Row],[Date]],"mmmm")</f>
        <v>November</v>
      </c>
      <c r="D193" t="s">
        <v>24</v>
      </c>
      <c r="E193" t="str">
        <f>_xlfn.XLOOKUP(tblSales[[#This Row],[Saleperson]],Lookup_Tables!$B$5:$B$16,Lookup_Tables!$C$5:$C$16)</f>
        <v>South</v>
      </c>
      <c r="F193" t="s">
        <v>63</v>
      </c>
      <c r="G193" t="str">
        <f>_xlfn.XLOOKUP(tblSales[[#This Row],[Customer]],Lookup_Tables!$I$5:$I$34,Lookup_Tables!$J$5:$J$34)</f>
        <v>Retail</v>
      </c>
      <c r="H193" t="str">
        <f>_xlfn.XLOOKUP(tblSales[[#This Row],[Product]],Lookup_Tables!$F$5:$F$23,Lookup_Tables!$E$5:$E$23,"")</f>
        <v>Electronics</v>
      </c>
      <c r="I193" t="s">
        <v>37</v>
      </c>
      <c r="J193" s="11">
        <v>10</v>
      </c>
      <c r="K193" s="1">
        <f>_xlfn.XLOOKUP(tblSales[[#This Row],[Product]],Lookup_Tables!$F$5:$F$23,Lookup_Tables!$G$5:$G$23,"")</f>
        <v>20000</v>
      </c>
      <c r="L193" s="12">
        <f>_xlfn.XLOOKUP(tblSales[[#This Row],[Customer Type]],Lookup_Tables!$B$19:$B$21,Lookup_Tables!$C$19:$C$21,0)</f>
        <v>0</v>
      </c>
      <c r="M193" t="s">
        <v>33</v>
      </c>
      <c r="N193" s="11" t="str">
        <f>"Q"&amp;ROUNDUP(MONTH(tblSales[[#This Row],[Date]])/3,0)</f>
        <v>Q4</v>
      </c>
      <c r="O193" s="11">
        <f>YEAR(tblSales[[#This Row],[Date]])</f>
        <v>2025</v>
      </c>
      <c r="P193" s="1">
        <f>tblSales[[#This Row],[Quantity]]*tblSales[[#This Row],[Unit Price]]</f>
        <v>200000</v>
      </c>
      <c r="Q193" s="1">
        <f>tblSales[[#This Row],[Gross Sales]]*tblSales[[#This Row],[Discount%]]</f>
        <v>0</v>
      </c>
      <c r="R193" s="1">
        <f>tblSales[[#This Row],[Gross Sales]]-tblSales[[#This Row],[Discount Amount]]</f>
        <v>200000</v>
      </c>
    </row>
    <row r="194" spans="1:18" x14ac:dyDescent="0.35">
      <c r="A194" t="str">
        <f t="shared" ref="A194:A257" si="3">"ORD-2026-"&amp;TEXT(ROW()-1,"0000")</f>
        <v>ORD-2026-0193</v>
      </c>
      <c r="B194" s="2">
        <v>45971</v>
      </c>
      <c r="C194" t="str">
        <f>TEXT(tblSales[[#This Row],[Date]],"mmmm")</f>
        <v>November</v>
      </c>
      <c r="D194" t="s">
        <v>19</v>
      </c>
      <c r="E194" t="str">
        <f>_xlfn.XLOOKUP(tblSales[[#This Row],[Saleperson]],Lookup_Tables!$B$5:$B$16,Lookup_Tables!$C$5:$C$16)</f>
        <v>West</v>
      </c>
      <c r="F194" s="5" t="s">
        <v>79</v>
      </c>
      <c r="G194" t="str">
        <f>_xlfn.XLOOKUP(tblSales[[#This Row],[Customer]],Lookup_Tables!$I$5:$I$34,Lookup_Tables!$J$5:$J$34)</f>
        <v>Retail</v>
      </c>
      <c r="H194" t="str">
        <f>_xlfn.XLOOKUP(tblSales[[#This Row],[Product]],Lookup_Tables!$F$5:$F$23,Lookup_Tables!$E$5:$E$23,"")</f>
        <v>Furniture</v>
      </c>
      <c r="I194" t="s">
        <v>44</v>
      </c>
      <c r="J194" s="11">
        <v>7</v>
      </c>
      <c r="K194" s="1">
        <f>_xlfn.XLOOKUP(tblSales[[#This Row],[Product]],Lookup_Tables!$F$5:$F$23,Lookup_Tables!$G$5:$G$23,"")</f>
        <v>6900</v>
      </c>
      <c r="L194" s="12">
        <f>_xlfn.XLOOKUP(tblSales[[#This Row],[Customer Type]],Lookup_Tables!$B$19:$B$21,Lookup_Tables!$C$19:$C$21,0)</f>
        <v>0</v>
      </c>
      <c r="M194" t="s">
        <v>34</v>
      </c>
      <c r="N194" s="11" t="str">
        <f>"Q"&amp;ROUNDUP(MONTH(tblSales[[#This Row],[Date]])/3,0)</f>
        <v>Q4</v>
      </c>
      <c r="O194" s="11">
        <f>YEAR(tblSales[[#This Row],[Date]])</f>
        <v>2025</v>
      </c>
      <c r="P194" s="1">
        <f>tblSales[[#This Row],[Quantity]]*tblSales[[#This Row],[Unit Price]]</f>
        <v>48300</v>
      </c>
      <c r="Q194" s="1">
        <f>tblSales[[#This Row],[Gross Sales]]*tblSales[[#This Row],[Discount%]]</f>
        <v>0</v>
      </c>
      <c r="R194" s="1">
        <f>tblSales[[#This Row],[Gross Sales]]-tblSales[[#This Row],[Discount Amount]]</f>
        <v>48300</v>
      </c>
    </row>
    <row r="195" spans="1:18" x14ac:dyDescent="0.35">
      <c r="A195" t="str">
        <f t="shared" si="3"/>
        <v>ORD-2026-0194</v>
      </c>
      <c r="B195" s="2">
        <v>45972</v>
      </c>
      <c r="C195" t="str">
        <f>TEXT(tblSales[[#This Row],[Date]],"mmmm")</f>
        <v>November</v>
      </c>
      <c r="D195" t="s">
        <v>26</v>
      </c>
      <c r="E195" t="str">
        <f>_xlfn.XLOOKUP(tblSales[[#This Row],[Saleperson]],Lookup_Tables!$B$5:$B$16,Lookup_Tables!$C$5:$C$16)</f>
        <v>North</v>
      </c>
      <c r="F195" s="5" t="s">
        <v>68</v>
      </c>
      <c r="G195" t="str">
        <f>_xlfn.XLOOKUP(tblSales[[#This Row],[Customer]],Lookup_Tables!$I$5:$I$34,Lookup_Tables!$J$5:$J$34)</f>
        <v>Government</v>
      </c>
      <c r="H195" t="str">
        <f>_xlfn.XLOOKUP(tblSales[[#This Row],[Product]],Lookup_Tables!$F$5:$F$23,Lookup_Tables!$E$5:$E$23,"")</f>
        <v>Office Supplies</v>
      </c>
      <c r="I195" t="s">
        <v>56</v>
      </c>
      <c r="J195" s="11">
        <v>2</v>
      </c>
      <c r="K195" s="1">
        <f>_xlfn.XLOOKUP(tblSales[[#This Row],[Product]],Lookup_Tables!$F$5:$F$23,Lookup_Tables!$G$5:$G$23,"")</f>
        <v>190</v>
      </c>
      <c r="L195" s="12">
        <f>_xlfn.XLOOKUP(tblSales[[#This Row],[Customer Type]],Lookup_Tables!$B$19:$B$21,Lookup_Tables!$C$19:$C$21,0)</f>
        <v>0.15</v>
      </c>
      <c r="M195" t="s">
        <v>33</v>
      </c>
      <c r="N195" s="11" t="str">
        <f>"Q"&amp;ROUNDUP(MONTH(tblSales[[#This Row],[Date]])/3,0)</f>
        <v>Q4</v>
      </c>
      <c r="O195" s="11">
        <f>YEAR(tblSales[[#This Row],[Date]])</f>
        <v>2025</v>
      </c>
      <c r="P195" s="1">
        <f>tblSales[[#This Row],[Quantity]]*tblSales[[#This Row],[Unit Price]]</f>
        <v>380</v>
      </c>
      <c r="Q195" s="1">
        <f>tblSales[[#This Row],[Gross Sales]]*tblSales[[#This Row],[Discount%]]</f>
        <v>57</v>
      </c>
      <c r="R195" s="1">
        <f>tblSales[[#This Row],[Gross Sales]]-tblSales[[#This Row],[Discount Amount]]</f>
        <v>323</v>
      </c>
    </row>
    <row r="196" spans="1:18" x14ac:dyDescent="0.35">
      <c r="A196" t="str">
        <f t="shared" si="3"/>
        <v>ORD-2026-0195</v>
      </c>
      <c r="B196" s="2">
        <v>45973</v>
      </c>
      <c r="C196" t="str">
        <f>TEXT(tblSales[[#This Row],[Date]],"mmmm")</f>
        <v>November</v>
      </c>
      <c r="D196" t="s">
        <v>27</v>
      </c>
      <c r="E196" t="str">
        <f>_xlfn.XLOOKUP(tblSales[[#This Row],[Saleperson]],Lookup_Tables!$B$5:$B$16,Lookup_Tables!$C$5:$C$16)</f>
        <v>East</v>
      </c>
      <c r="F196" s="5" t="s">
        <v>74</v>
      </c>
      <c r="G196" t="str">
        <f>_xlfn.XLOOKUP(tblSales[[#This Row],[Customer]],Lookup_Tables!$I$5:$I$34,Lookup_Tables!$J$5:$J$34)</f>
        <v>Retail</v>
      </c>
      <c r="H196" t="str">
        <f>_xlfn.XLOOKUP(tblSales[[#This Row],[Product]],Lookup_Tables!$F$5:$F$23,Lookup_Tables!$E$5:$E$23,"")</f>
        <v>Office Supplies</v>
      </c>
      <c r="I196" t="s">
        <v>50</v>
      </c>
      <c r="J196" s="11">
        <v>10</v>
      </c>
      <c r="K196" s="1">
        <f>_xlfn.XLOOKUP(tblSales[[#This Row],[Product]],Lookup_Tables!$F$5:$F$23,Lookup_Tables!$G$5:$G$23,"")</f>
        <v>180</v>
      </c>
      <c r="L196" s="12">
        <f>_xlfn.XLOOKUP(tblSales[[#This Row],[Customer Type]],Lookup_Tables!$B$19:$B$21,Lookup_Tables!$C$19:$C$21,0)</f>
        <v>0</v>
      </c>
      <c r="M196" t="s">
        <v>35</v>
      </c>
      <c r="N196" s="11" t="str">
        <f>"Q"&amp;ROUNDUP(MONTH(tblSales[[#This Row],[Date]])/3,0)</f>
        <v>Q4</v>
      </c>
      <c r="O196" s="11">
        <f>YEAR(tblSales[[#This Row],[Date]])</f>
        <v>2025</v>
      </c>
      <c r="P196" s="1">
        <f>tblSales[[#This Row],[Quantity]]*tblSales[[#This Row],[Unit Price]]</f>
        <v>1800</v>
      </c>
      <c r="Q196" s="1">
        <f>tblSales[[#This Row],[Gross Sales]]*tblSales[[#This Row],[Discount%]]</f>
        <v>0</v>
      </c>
      <c r="R196" s="1">
        <f>tblSales[[#This Row],[Gross Sales]]-tblSales[[#This Row],[Discount Amount]]</f>
        <v>1800</v>
      </c>
    </row>
    <row r="197" spans="1:18" x14ac:dyDescent="0.35">
      <c r="A197" t="str">
        <f t="shared" si="3"/>
        <v>ORD-2026-0196</v>
      </c>
      <c r="B197" s="2">
        <v>45974</v>
      </c>
      <c r="C197" t="str">
        <f>TEXT(tblSales[[#This Row],[Date]],"mmmm")</f>
        <v>November</v>
      </c>
      <c r="D197" t="s">
        <v>28</v>
      </c>
      <c r="E197" t="str">
        <f>_xlfn.XLOOKUP(tblSales[[#This Row],[Saleperson]],Lookup_Tables!$B$5:$B$16,Lookup_Tables!$C$5:$C$16)</f>
        <v>South</v>
      </c>
      <c r="F197" s="5" t="s">
        <v>70</v>
      </c>
      <c r="G197" t="str">
        <f>_xlfn.XLOOKUP(tblSales[[#This Row],[Customer]],Lookup_Tables!$I$5:$I$34,Lookup_Tables!$J$5:$J$34)</f>
        <v>Retail</v>
      </c>
      <c r="H197" t="str">
        <f>_xlfn.XLOOKUP(tblSales[[#This Row],[Product]],Lookup_Tables!$F$5:$F$23,Lookup_Tables!$E$5:$E$23,"")</f>
        <v>Office Supplies</v>
      </c>
      <c r="I197" t="s">
        <v>55</v>
      </c>
      <c r="J197" s="11">
        <v>6</v>
      </c>
      <c r="K197" s="1">
        <f>_xlfn.XLOOKUP(tblSales[[#This Row],[Product]],Lookup_Tables!$F$5:$F$23,Lookup_Tables!$G$5:$G$23,"")</f>
        <v>75</v>
      </c>
      <c r="L197" s="12">
        <f>_xlfn.XLOOKUP(tblSales[[#This Row],[Customer Type]],Lookup_Tables!$B$19:$B$21,Lookup_Tables!$C$19:$C$21,0)</f>
        <v>0</v>
      </c>
      <c r="M197" t="s">
        <v>32</v>
      </c>
      <c r="N197" s="11" t="str">
        <f>"Q"&amp;ROUNDUP(MONTH(tblSales[[#This Row],[Date]])/3,0)</f>
        <v>Q4</v>
      </c>
      <c r="O197" s="11">
        <f>YEAR(tblSales[[#This Row],[Date]])</f>
        <v>2025</v>
      </c>
      <c r="P197" s="1">
        <f>tblSales[[#This Row],[Quantity]]*tblSales[[#This Row],[Unit Price]]</f>
        <v>450</v>
      </c>
      <c r="Q197" s="1">
        <f>tblSales[[#This Row],[Gross Sales]]*tblSales[[#This Row],[Discount%]]</f>
        <v>0</v>
      </c>
      <c r="R197" s="1">
        <f>tblSales[[#This Row],[Gross Sales]]-tblSales[[#This Row],[Discount Amount]]</f>
        <v>450</v>
      </c>
    </row>
    <row r="198" spans="1:18" x14ac:dyDescent="0.35">
      <c r="A198" t="str">
        <f t="shared" si="3"/>
        <v>ORD-2026-0197</v>
      </c>
      <c r="B198" s="2">
        <v>45975</v>
      </c>
      <c r="C198" t="str">
        <f>TEXT(tblSales[[#This Row],[Date]],"mmmm")</f>
        <v>November</v>
      </c>
      <c r="D198" t="s">
        <v>20</v>
      </c>
      <c r="E198" t="str">
        <f>_xlfn.XLOOKUP(tblSales[[#This Row],[Saleperson]],Lookup_Tables!$B$5:$B$16,Lookup_Tables!$C$5:$C$16)</f>
        <v>East</v>
      </c>
      <c r="F198" t="s">
        <v>65</v>
      </c>
      <c r="G198" t="str">
        <f>_xlfn.XLOOKUP(tblSales[[#This Row],[Customer]],Lookup_Tables!$I$5:$I$34,Lookup_Tables!$J$5:$J$34)</f>
        <v>Retail</v>
      </c>
      <c r="H198" t="str">
        <f>_xlfn.XLOOKUP(tblSales[[#This Row],[Product]],Lookup_Tables!$F$5:$F$23,Lookup_Tables!$E$5:$E$23,"")</f>
        <v>Office Supplies</v>
      </c>
      <c r="I198" t="s">
        <v>49</v>
      </c>
      <c r="J198" s="11">
        <v>6</v>
      </c>
      <c r="K198" s="1">
        <f>_xlfn.XLOOKUP(tblSales[[#This Row],[Product]],Lookup_Tables!$F$5:$F$23,Lookup_Tables!$G$5:$G$23,"")</f>
        <v>120</v>
      </c>
      <c r="L198" s="12">
        <f>_xlfn.XLOOKUP(tblSales[[#This Row],[Customer Type]],Lookup_Tables!$B$19:$B$21,Lookup_Tables!$C$19:$C$21,0)</f>
        <v>0</v>
      </c>
      <c r="M198" t="s">
        <v>33</v>
      </c>
      <c r="N198" s="11" t="str">
        <f>"Q"&amp;ROUNDUP(MONTH(tblSales[[#This Row],[Date]])/3,0)</f>
        <v>Q4</v>
      </c>
      <c r="O198" s="11">
        <f>YEAR(tblSales[[#This Row],[Date]])</f>
        <v>2025</v>
      </c>
      <c r="P198" s="1">
        <f>tblSales[[#This Row],[Quantity]]*tblSales[[#This Row],[Unit Price]]</f>
        <v>720</v>
      </c>
      <c r="Q198" s="1">
        <f>tblSales[[#This Row],[Gross Sales]]*tblSales[[#This Row],[Discount%]]</f>
        <v>0</v>
      </c>
      <c r="R198" s="1">
        <f>tblSales[[#This Row],[Gross Sales]]-tblSales[[#This Row],[Discount Amount]]</f>
        <v>720</v>
      </c>
    </row>
    <row r="199" spans="1:18" x14ac:dyDescent="0.35">
      <c r="A199" t="str">
        <f t="shared" si="3"/>
        <v>ORD-2026-0198</v>
      </c>
      <c r="B199" s="2">
        <v>45976</v>
      </c>
      <c r="C199" t="str">
        <f>TEXT(tblSales[[#This Row],[Date]],"mmmm")</f>
        <v>November</v>
      </c>
      <c r="D199" t="s">
        <v>28</v>
      </c>
      <c r="E199" t="str">
        <f>_xlfn.XLOOKUP(tblSales[[#This Row],[Saleperson]],Lookup_Tables!$B$5:$B$16,Lookup_Tables!$C$5:$C$16)</f>
        <v>South</v>
      </c>
      <c r="F199" t="s">
        <v>63</v>
      </c>
      <c r="G199" t="str">
        <f>_xlfn.XLOOKUP(tblSales[[#This Row],[Customer]],Lookup_Tables!$I$5:$I$34,Lookup_Tables!$J$5:$J$34)</f>
        <v>Retail</v>
      </c>
      <c r="H199" t="str">
        <f>_xlfn.XLOOKUP(tblSales[[#This Row],[Product]],Lookup_Tables!$F$5:$F$23,Lookup_Tables!$E$5:$E$23,"")</f>
        <v>Office Supplies</v>
      </c>
      <c r="I199" t="s">
        <v>56</v>
      </c>
      <c r="J199" s="11">
        <v>9</v>
      </c>
      <c r="K199" s="1">
        <f>_xlfn.XLOOKUP(tblSales[[#This Row],[Product]],Lookup_Tables!$F$5:$F$23,Lookup_Tables!$G$5:$G$23,"")</f>
        <v>190</v>
      </c>
      <c r="L199" s="12">
        <f>_xlfn.XLOOKUP(tblSales[[#This Row],[Customer Type]],Lookup_Tables!$B$19:$B$21,Lookup_Tables!$C$19:$C$21,0)</f>
        <v>0</v>
      </c>
      <c r="M199" t="s">
        <v>33</v>
      </c>
      <c r="N199" s="11" t="str">
        <f>"Q"&amp;ROUNDUP(MONTH(tblSales[[#This Row],[Date]])/3,0)</f>
        <v>Q4</v>
      </c>
      <c r="O199" s="11">
        <f>YEAR(tblSales[[#This Row],[Date]])</f>
        <v>2025</v>
      </c>
      <c r="P199" s="1">
        <f>tblSales[[#This Row],[Quantity]]*tblSales[[#This Row],[Unit Price]]</f>
        <v>1710</v>
      </c>
      <c r="Q199" s="1">
        <f>tblSales[[#This Row],[Gross Sales]]*tblSales[[#This Row],[Discount%]]</f>
        <v>0</v>
      </c>
      <c r="R199" s="1">
        <f>tblSales[[#This Row],[Gross Sales]]-tblSales[[#This Row],[Discount Amount]]</f>
        <v>1710</v>
      </c>
    </row>
    <row r="200" spans="1:18" x14ac:dyDescent="0.35">
      <c r="A200" t="str">
        <f t="shared" si="3"/>
        <v>ORD-2026-0199</v>
      </c>
      <c r="B200" s="2">
        <v>45977</v>
      </c>
      <c r="C200" t="str">
        <f>TEXT(tblSales[[#This Row],[Date]],"mmmm")</f>
        <v>November</v>
      </c>
      <c r="D200" t="s">
        <v>28</v>
      </c>
      <c r="E200" t="str">
        <f>_xlfn.XLOOKUP(tblSales[[#This Row],[Saleperson]],Lookup_Tables!$B$5:$B$16,Lookup_Tables!$C$5:$C$16)</f>
        <v>South</v>
      </c>
      <c r="F200" s="5" t="s">
        <v>69</v>
      </c>
      <c r="G200" t="str">
        <f>_xlfn.XLOOKUP(tblSales[[#This Row],[Customer]],Lookup_Tables!$I$5:$I$34,Lookup_Tables!$J$5:$J$34)</f>
        <v>Retail</v>
      </c>
      <c r="H200" t="str">
        <f>_xlfn.XLOOKUP(tblSales[[#This Row],[Product]],Lookup_Tables!$F$5:$F$23,Lookup_Tables!$E$5:$E$23,"")</f>
        <v>Furniture</v>
      </c>
      <c r="I200" t="s">
        <v>45</v>
      </c>
      <c r="J200" s="11">
        <v>10</v>
      </c>
      <c r="K200" s="1">
        <f>_xlfn.XLOOKUP(tblSales[[#This Row],[Product]],Lookup_Tables!$F$5:$F$23,Lookup_Tables!$G$5:$G$23,"")</f>
        <v>5200</v>
      </c>
      <c r="L200" s="12">
        <f>_xlfn.XLOOKUP(tblSales[[#This Row],[Customer Type]],Lookup_Tables!$B$19:$B$21,Lookup_Tables!$C$19:$C$21,0)</f>
        <v>0</v>
      </c>
      <c r="M200" t="s">
        <v>33</v>
      </c>
      <c r="N200" s="11" t="str">
        <f>"Q"&amp;ROUNDUP(MONTH(tblSales[[#This Row],[Date]])/3,0)</f>
        <v>Q4</v>
      </c>
      <c r="O200" s="11">
        <f>YEAR(tblSales[[#This Row],[Date]])</f>
        <v>2025</v>
      </c>
      <c r="P200" s="1">
        <f>tblSales[[#This Row],[Quantity]]*tblSales[[#This Row],[Unit Price]]</f>
        <v>52000</v>
      </c>
      <c r="Q200" s="1">
        <f>tblSales[[#This Row],[Gross Sales]]*tblSales[[#This Row],[Discount%]]</f>
        <v>0</v>
      </c>
      <c r="R200" s="1">
        <f>tblSales[[#This Row],[Gross Sales]]-tblSales[[#This Row],[Discount Amount]]</f>
        <v>52000</v>
      </c>
    </row>
    <row r="201" spans="1:18" x14ac:dyDescent="0.35">
      <c r="A201" t="str">
        <f t="shared" si="3"/>
        <v>ORD-2026-0200</v>
      </c>
      <c r="B201" s="2">
        <v>45977</v>
      </c>
      <c r="C201" t="str">
        <f>TEXT(tblSales[[#This Row],[Date]],"mmmm")</f>
        <v>November</v>
      </c>
      <c r="D201" t="s">
        <v>23</v>
      </c>
      <c r="E201" t="str">
        <f>_xlfn.XLOOKUP(tblSales[[#This Row],[Saleperson]],Lookup_Tables!$B$5:$B$16,Lookup_Tables!$C$5:$C$16)</f>
        <v>West</v>
      </c>
      <c r="F201" s="5" t="s">
        <v>79</v>
      </c>
      <c r="G201" t="str">
        <f>_xlfn.XLOOKUP(tblSales[[#This Row],[Customer]],Lookup_Tables!$I$5:$I$34,Lookup_Tables!$J$5:$J$34)</f>
        <v>Retail</v>
      </c>
      <c r="H201" t="str">
        <f>_xlfn.XLOOKUP(tblSales[[#This Row],[Product]],Lookup_Tables!$F$5:$F$23,Lookup_Tables!$E$5:$E$23,"")</f>
        <v>Furniture</v>
      </c>
      <c r="I201" t="s">
        <v>44</v>
      </c>
      <c r="J201" s="11">
        <v>9</v>
      </c>
      <c r="K201" s="1">
        <f>_xlfn.XLOOKUP(tblSales[[#This Row],[Product]],Lookup_Tables!$F$5:$F$23,Lookup_Tables!$G$5:$G$23,"")</f>
        <v>6900</v>
      </c>
      <c r="L201" s="12">
        <f>_xlfn.XLOOKUP(tblSales[[#This Row],[Customer Type]],Lookup_Tables!$B$19:$B$21,Lookup_Tables!$C$19:$C$21,0)</f>
        <v>0</v>
      </c>
      <c r="M201" t="s">
        <v>34</v>
      </c>
      <c r="N201" s="11" t="str">
        <f>"Q"&amp;ROUNDUP(MONTH(tblSales[[#This Row],[Date]])/3,0)</f>
        <v>Q4</v>
      </c>
      <c r="O201" s="11">
        <f>YEAR(tblSales[[#This Row],[Date]])</f>
        <v>2025</v>
      </c>
      <c r="P201" s="1">
        <f>tblSales[[#This Row],[Quantity]]*tblSales[[#This Row],[Unit Price]]</f>
        <v>62100</v>
      </c>
      <c r="Q201" s="1">
        <f>tblSales[[#This Row],[Gross Sales]]*tblSales[[#This Row],[Discount%]]</f>
        <v>0</v>
      </c>
      <c r="R201" s="1">
        <f>tblSales[[#This Row],[Gross Sales]]-tblSales[[#This Row],[Discount Amount]]</f>
        <v>62100</v>
      </c>
    </row>
    <row r="202" spans="1:18" x14ac:dyDescent="0.35">
      <c r="A202" t="str">
        <f t="shared" si="3"/>
        <v>ORD-2026-0201</v>
      </c>
      <c r="B202" s="2">
        <v>45978</v>
      </c>
      <c r="C202" t="str">
        <f>TEXT(tblSales[[#This Row],[Date]],"mmmm")</f>
        <v>November</v>
      </c>
      <c r="D202" t="s">
        <v>18</v>
      </c>
      <c r="E202" t="str">
        <f>_xlfn.XLOOKUP(tblSales[[#This Row],[Saleperson]],Lookup_Tables!$B$5:$B$16,Lookup_Tables!$C$5:$C$16)</f>
        <v>South</v>
      </c>
      <c r="F202" s="5" t="s">
        <v>85</v>
      </c>
      <c r="G202" t="str">
        <f>_xlfn.XLOOKUP(tblSales[[#This Row],[Customer]],Lookup_Tables!$I$5:$I$34,Lookup_Tables!$J$5:$J$34)</f>
        <v>Retail</v>
      </c>
      <c r="H202" t="str">
        <f>_xlfn.XLOOKUP(tblSales[[#This Row],[Product]],Lookup_Tables!$F$5:$F$23,Lookup_Tables!$E$5:$E$23,"")</f>
        <v>Office Supplies</v>
      </c>
      <c r="I202" t="s">
        <v>49</v>
      </c>
      <c r="J202" s="11">
        <v>5</v>
      </c>
      <c r="K202" s="1">
        <f>_xlfn.XLOOKUP(tblSales[[#This Row],[Product]],Lookup_Tables!$F$5:$F$23,Lookup_Tables!$G$5:$G$23,"")</f>
        <v>120</v>
      </c>
      <c r="L202" s="6">
        <f>_xlfn.XLOOKUP(tblSales[[#This Row],[Customer Type]],Lookup_Tables!$B$19:$B$21,Lookup_Tables!$C$19:$C$21,0)</f>
        <v>0</v>
      </c>
      <c r="M202" t="s">
        <v>34</v>
      </c>
      <c r="N202" s="11" t="str">
        <f>"Q"&amp;ROUNDUP(MONTH(tblSales[[#This Row],[Date]])/3,0)</f>
        <v>Q4</v>
      </c>
      <c r="O202" s="11">
        <f>YEAR(tblSales[[#This Row],[Date]])</f>
        <v>2025</v>
      </c>
      <c r="P202" s="1">
        <f>tblSales[[#This Row],[Quantity]]*tblSales[[#This Row],[Unit Price]]</f>
        <v>600</v>
      </c>
      <c r="Q202" s="1">
        <f>tblSales[[#This Row],[Gross Sales]]*tblSales[[#This Row],[Discount%]]</f>
        <v>0</v>
      </c>
      <c r="R202" s="1">
        <f>tblSales[[#This Row],[Gross Sales]]-tblSales[[#This Row],[Discount Amount]]</f>
        <v>600</v>
      </c>
    </row>
    <row r="203" spans="1:18" x14ac:dyDescent="0.35">
      <c r="A203" t="str">
        <f t="shared" si="3"/>
        <v>ORD-2026-0202</v>
      </c>
      <c r="B203" s="2">
        <v>45992</v>
      </c>
      <c r="C203" t="str">
        <f>TEXT(tblSales[[#This Row],[Date]],"mmmm")</f>
        <v>December</v>
      </c>
      <c r="D203" t="s">
        <v>25</v>
      </c>
      <c r="E203" t="str">
        <f>_xlfn.XLOOKUP(tblSales[[#This Row],[Saleperson]],Lookup_Tables!$B$5:$B$16,Lookup_Tables!$C$5:$C$16)</f>
        <v>West</v>
      </c>
      <c r="F203" t="s">
        <v>63</v>
      </c>
      <c r="G203" t="str">
        <f>_xlfn.XLOOKUP(tblSales[[#This Row],[Customer]],Lookup_Tables!$I$5:$I$34,Lookup_Tables!$J$5:$J$34)</f>
        <v>Retail</v>
      </c>
      <c r="H203" t="str">
        <f>_xlfn.XLOOKUP(tblSales[[#This Row],[Product]],Lookup_Tables!$F$5:$F$23,Lookup_Tables!$E$5:$E$23,"")</f>
        <v>Electronics</v>
      </c>
      <c r="I203" t="s">
        <v>38</v>
      </c>
      <c r="J203" s="11">
        <v>8</v>
      </c>
      <c r="K203" s="1">
        <f>_xlfn.XLOOKUP(tblSales[[#This Row],[Product]],Lookup_Tables!$F$5:$F$23,Lookup_Tables!$G$5:$G$23,"")</f>
        <v>6000</v>
      </c>
      <c r="L203" s="12">
        <f>_xlfn.XLOOKUP(tblSales[[#This Row],[Customer Type]],Lookup_Tables!$B$19:$B$21,Lookup_Tables!$C$19:$C$21,0)</f>
        <v>0</v>
      </c>
      <c r="M203" t="s">
        <v>35</v>
      </c>
      <c r="N203" s="11" t="str">
        <f>"Q"&amp;ROUNDUP(MONTH(tblSales[[#This Row],[Date]])/3,0)</f>
        <v>Q4</v>
      </c>
      <c r="O203" s="11">
        <f>YEAR(tblSales[[#This Row],[Date]])</f>
        <v>2025</v>
      </c>
      <c r="P203" s="1">
        <f>tblSales[[#This Row],[Quantity]]*tblSales[[#This Row],[Unit Price]]</f>
        <v>48000</v>
      </c>
      <c r="Q203" s="1">
        <f>tblSales[[#This Row],[Gross Sales]]*tblSales[[#This Row],[Discount%]]</f>
        <v>0</v>
      </c>
      <c r="R203" s="1">
        <f>tblSales[[#This Row],[Gross Sales]]-tblSales[[#This Row],[Discount Amount]]</f>
        <v>48000</v>
      </c>
    </row>
    <row r="204" spans="1:18" x14ac:dyDescent="0.35">
      <c r="A204" t="str">
        <f t="shared" si="3"/>
        <v>ORD-2026-0203</v>
      </c>
      <c r="B204" s="2">
        <v>45993</v>
      </c>
      <c r="C204" t="str">
        <f>TEXT(tblSales[[#This Row],[Date]],"mmmm")</f>
        <v>December</v>
      </c>
      <c r="D204" t="s">
        <v>21</v>
      </c>
      <c r="E204" t="str">
        <f>_xlfn.XLOOKUP(tblSales[[#This Row],[Saleperson]],Lookup_Tables!$B$5:$B$16,Lookup_Tables!$C$5:$C$16)</f>
        <v>South</v>
      </c>
      <c r="F204" s="5" t="s">
        <v>72</v>
      </c>
      <c r="G204" t="str">
        <f>_xlfn.XLOOKUP(tblSales[[#This Row],[Customer]],Lookup_Tables!$I$5:$I$34,Lookup_Tables!$J$5:$J$34)</f>
        <v>Retail</v>
      </c>
      <c r="H204" t="str">
        <f>_xlfn.XLOOKUP(tblSales[[#This Row],[Product]],Lookup_Tables!$F$5:$F$23,Lookup_Tables!$E$5:$E$23,"")</f>
        <v>Office Supplies</v>
      </c>
      <c r="I204" t="s">
        <v>52</v>
      </c>
      <c r="J204" s="11">
        <v>2</v>
      </c>
      <c r="K204" s="1">
        <f>_xlfn.XLOOKUP(tblSales[[#This Row],[Product]],Lookup_Tables!$F$5:$F$23,Lookup_Tables!$G$5:$G$23,"")</f>
        <v>60</v>
      </c>
      <c r="L204" s="12">
        <f>_xlfn.XLOOKUP(tblSales[[#This Row],[Customer Type]],Lookup_Tables!$B$19:$B$21,Lookup_Tables!$C$19:$C$21,0)</f>
        <v>0</v>
      </c>
      <c r="M204" t="s">
        <v>35</v>
      </c>
      <c r="N204" s="11" t="str">
        <f>"Q"&amp;ROUNDUP(MONTH(tblSales[[#This Row],[Date]])/3,0)</f>
        <v>Q4</v>
      </c>
      <c r="O204" s="11">
        <f>YEAR(tblSales[[#This Row],[Date]])</f>
        <v>2025</v>
      </c>
      <c r="P204" s="1">
        <f>tblSales[[#This Row],[Quantity]]*tblSales[[#This Row],[Unit Price]]</f>
        <v>120</v>
      </c>
      <c r="Q204" s="1">
        <f>tblSales[[#This Row],[Gross Sales]]*tblSales[[#This Row],[Discount%]]</f>
        <v>0</v>
      </c>
      <c r="R204" s="1">
        <f>tblSales[[#This Row],[Gross Sales]]-tblSales[[#This Row],[Discount Amount]]</f>
        <v>120</v>
      </c>
    </row>
    <row r="205" spans="1:18" x14ac:dyDescent="0.35">
      <c r="A205" t="str">
        <f t="shared" si="3"/>
        <v>ORD-2026-0204</v>
      </c>
      <c r="B205" s="2">
        <v>45994</v>
      </c>
      <c r="C205" t="str">
        <f>TEXT(tblSales[[#This Row],[Date]],"mmmm")</f>
        <v>December</v>
      </c>
      <c r="D205" t="s">
        <v>19</v>
      </c>
      <c r="E205" t="str">
        <f>_xlfn.XLOOKUP(tblSales[[#This Row],[Saleperson]],Lookup_Tables!$B$5:$B$16,Lookup_Tables!$C$5:$C$16)</f>
        <v>West</v>
      </c>
      <c r="F205" s="5" t="s">
        <v>70</v>
      </c>
      <c r="G205" t="str">
        <f>_xlfn.XLOOKUP(tblSales[[#This Row],[Customer]],Lookup_Tables!$I$5:$I$34,Lookup_Tables!$J$5:$J$34)</f>
        <v>Retail</v>
      </c>
      <c r="H205" t="str">
        <f>_xlfn.XLOOKUP(tblSales[[#This Row],[Product]],Lookup_Tables!$F$5:$F$23,Lookup_Tables!$E$5:$E$23,"")</f>
        <v>Office Supplies</v>
      </c>
      <c r="I205" t="s">
        <v>51</v>
      </c>
      <c r="J205" s="11">
        <v>5</v>
      </c>
      <c r="K205" s="1">
        <f>_xlfn.XLOOKUP(tblSales[[#This Row],[Product]],Lookup_Tables!$F$5:$F$23,Lookup_Tables!$G$5:$G$23,"")</f>
        <v>90</v>
      </c>
      <c r="L205" s="12">
        <f>_xlfn.XLOOKUP(tblSales[[#This Row],[Customer Type]],Lookup_Tables!$B$19:$B$21,Lookup_Tables!$C$19:$C$21,0)</f>
        <v>0</v>
      </c>
      <c r="M205" t="s">
        <v>35</v>
      </c>
      <c r="N205" s="11" t="str">
        <f>"Q"&amp;ROUNDUP(MONTH(tblSales[[#This Row],[Date]])/3,0)</f>
        <v>Q4</v>
      </c>
      <c r="O205" s="11">
        <f>YEAR(tblSales[[#This Row],[Date]])</f>
        <v>2025</v>
      </c>
      <c r="P205" s="1">
        <f>tblSales[[#This Row],[Quantity]]*tblSales[[#This Row],[Unit Price]]</f>
        <v>450</v>
      </c>
      <c r="Q205" s="1">
        <f>tblSales[[#This Row],[Gross Sales]]*tblSales[[#This Row],[Discount%]]</f>
        <v>0</v>
      </c>
      <c r="R205" s="1">
        <f>tblSales[[#This Row],[Gross Sales]]-tblSales[[#This Row],[Discount Amount]]</f>
        <v>450</v>
      </c>
    </row>
    <row r="206" spans="1:18" x14ac:dyDescent="0.35">
      <c r="A206" t="str">
        <f t="shared" si="3"/>
        <v>ORD-2026-0205</v>
      </c>
      <c r="B206" s="2">
        <v>45995</v>
      </c>
      <c r="C206" t="str">
        <f>TEXT(tblSales[[#This Row],[Date]],"mmmm")</f>
        <v>December</v>
      </c>
      <c r="D206" t="s">
        <v>22</v>
      </c>
      <c r="E206" t="str">
        <f>_xlfn.XLOOKUP(tblSales[[#This Row],[Saleperson]],Lookup_Tables!$B$5:$B$16,Lookup_Tables!$C$5:$C$16)</f>
        <v>North</v>
      </c>
      <c r="F206" s="5" t="s">
        <v>67</v>
      </c>
      <c r="G206" t="str">
        <f>_xlfn.XLOOKUP(tblSales[[#This Row],[Customer]],Lookup_Tables!$I$5:$I$34,Lookup_Tables!$J$5:$J$34)</f>
        <v>Government</v>
      </c>
      <c r="H206" t="str">
        <f>_xlfn.XLOOKUP(tblSales[[#This Row],[Product]],Lookup_Tables!$F$5:$F$23,Lookup_Tables!$E$5:$E$23,"")</f>
        <v>Furniture</v>
      </c>
      <c r="I206" t="s">
        <v>45</v>
      </c>
      <c r="J206" s="11">
        <v>10</v>
      </c>
      <c r="K206" s="1">
        <f>_xlfn.XLOOKUP(tblSales[[#This Row],[Product]],Lookup_Tables!$F$5:$F$23,Lookup_Tables!$G$5:$G$23,"")</f>
        <v>5200</v>
      </c>
      <c r="L206" s="12">
        <f>_xlfn.XLOOKUP(tblSales[[#This Row],[Customer Type]],Lookup_Tables!$B$19:$B$21,Lookup_Tables!$C$19:$C$21,0)</f>
        <v>0.15</v>
      </c>
      <c r="M206" t="s">
        <v>32</v>
      </c>
      <c r="N206" s="11" t="str">
        <f>"Q"&amp;ROUNDUP(MONTH(tblSales[[#This Row],[Date]])/3,0)</f>
        <v>Q4</v>
      </c>
      <c r="O206" s="11">
        <f>YEAR(tblSales[[#This Row],[Date]])</f>
        <v>2025</v>
      </c>
      <c r="P206" s="1">
        <f>tblSales[[#This Row],[Quantity]]*tblSales[[#This Row],[Unit Price]]</f>
        <v>52000</v>
      </c>
      <c r="Q206" s="1">
        <f>tblSales[[#This Row],[Gross Sales]]*tblSales[[#This Row],[Discount%]]</f>
        <v>7800</v>
      </c>
      <c r="R206" s="1">
        <f>tblSales[[#This Row],[Gross Sales]]-tblSales[[#This Row],[Discount Amount]]</f>
        <v>44200</v>
      </c>
    </row>
    <row r="207" spans="1:18" x14ac:dyDescent="0.35">
      <c r="A207" t="str">
        <f t="shared" si="3"/>
        <v>ORD-2026-0206</v>
      </c>
      <c r="B207" s="2">
        <v>45996</v>
      </c>
      <c r="C207" t="str">
        <f>TEXT(tblSales[[#This Row],[Date]],"mmmm")</f>
        <v>December</v>
      </c>
      <c r="D207" t="s">
        <v>26</v>
      </c>
      <c r="E207" t="str">
        <f>_xlfn.XLOOKUP(tblSales[[#This Row],[Saleperson]],Lookup_Tables!$B$5:$B$16,Lookup_Tables!$C$5:$C$16)</f>
        <v>North</v>
      </c>
      <c r="F207" s="5" t="s">
        <v>71</v>
      </c>
      <c r="G207" t="str">
        <f>_xlfn.XLOOKUP(tblSales[[#This Row],[Customer]],Lookup_Tables!$I$5:$I$34,Lookup_Tables!$J$5:$J$34)</f>
        <v>Government</v>
      </c>
      <c r="H207" t="str">
        <f>_xlfn.XLOOKUP(tblSales[[#This Row],[Product]],Lookup_Tables!$F$5:$F$23,Lookup_Tables!$E$5:$E$23,"")</f>
        <v>Furniture</v>
      </c>
      <c r="I207" t="s">
        <v>43</v>
      </c>
      <c r="J207" s="11">
        <v>7</v>
      </c>
      <c r="K207" s="1">
        <f>_xlfn.XLOOKUP(tblSales[[#This Row],[Product]],Lookup_Tables!$F$5:$F$23,Lookup_Tables!$G$5:$G$23,"")</f>
        <v>4200</v>
      </c>
      <c r="L207" s="12">
        <f>_xlfn.XLOOKUP(tblSales[[#This Row],[Customer Type]],Lookup_Tables!$B$19:$B$21,Lookup_Tables!$C$19:$C$21,0)</f>
        <v>0.15</v>
      </c>
      <c r="M207" t="s">
        <v>33</v>
      </c>
      <c r="N207" s="11" t="str">
        <f>"Q"&amp;ROUNDUP(MONTH(tblSales[[#This Row],[Date]])/3,0)</f>
        <v>Q4</v>
      </c>
      <c r="O207" s="11">
        <f>YEAR(tblSales[[#This Row],[Date]])</f>
        <v>2025</v>
      </c>
      <c r="P207" s="1">
        <f>tblSales[[#This Row],[Quantity]]*tblSales[[#This Row],[Unit Price]]</f>
        <v>29400</v>
      </c>
      <c r="Q207" s="1">
        <f>tblSales[[#This Row],[Gross Sales]]*tblSales[[#This Row],[Discount%]]</f>
        <v>4410</v>
      </c>
      <c r="R207" s="1">
        <f>tblSales[[#This Row],[Gross Sales]]-tblSales[[#This Row],[Discount Amount]]</f>
        <v>24990</v>
      </c>
    </row>
    <row r="208" spans="1:18" x14ac:dyDescent="0.35">
      <c r="A208" t="str">
        <f t="shared" si="3"/>
        <v>ORD-2026-0207</v>
      </c>
      <c r="B208" s="2">
        <v>45997</v>
      </c>
      <c r="C208" t="str">
        <f>TEXT(tblSales[[#This Row],[Date]],"mmmm")</f>
        <v>December</v>
      </c>
      <c r="D208" t="s">
        <v>24</v>
      </c>
      <c r="E208" t="str">
        <f>_xlfn.XLOOKUP(tblSales[[#This Row],[Saleperson]],Lookup_Tables!$B$5:$B$16,Lookup_Tables!$C$5:$C$16)</f>
        <v>South</v>
      </c>
      <c r="F208" s="5" t="s">
        <v>68</v>
      </c>
      <c r="G208" t="str">
        <f>_xlfn.XLOOKUP(tblSales[[#This Row],[Customer]],Lookup_Tables!$I$5:$I$34,Lookup_Tables!$J$5:$J$34)</f>
        <v>Government</v>
      </c>
      <c r="H208" t="str">
        <f>_xlfn.XLOOKUP(tblSales[[#This Row],[Product]],Lookup_Tables!$F$5:$F$23,Lookup_Tables!$E$5:$E$23,"")</f>
        <v>Electronics</v>
      </c>
      <c r="I208" t="s">
        <v>37</v>
      </c>
      <c r="J208" s="11">
        <v>4</v>
      </c>
      <c r="K208" s="1">
        <f>_xlfn.XLOOKUP(tblSales[[#This Row],[Product]],Lookup_Tables!$F$5:$F$23,Lookup_Tables!$G$5:$G$23,"")</f>
        <v>20000</v>
      </c>
      <c r="L208" s="12">
        <f>_xlfn.XLOOKUP(tblSales[[#This Row],[Customer Type]],Lookup_Tables!$B$19:$B$21,Lookup_Tables!$C$19:$C$21,0)</f>
        <v>0.15</v>
      </c>
      <c r="M208" t="s">
        <v>34</v>
      </c>
      <c r="N208" s="11" t="str">
        <f>"Q"&amp;ROUNDUP(MONTH(tblSales[[#This Row],[Date]])/3,0)</f>
        <v>Q4</v>
      </c>
      <c r="O208" s="11">
        <f>YEAR(tblSales[[#This Row],[Date]])</f>
        <v>2025</v>
      </c>
      <c r="P208" s="1">
        <f>tblSales[[#This Row],[Quantity]]*tblSales[[#This Row],[Unit Price]]</f>
        <v>80000</v>
      </c>
      <c r="Q208" s="1">
        <f>tblSales[[#This Row],[Gross Sales]]*tblSales[[#This Row],[Discount%]]</f>
        <v>12000</v>
      </c>
      <c r="R208" s="1">
        <f>tblSales[[#This Row],[Gross Sales]]-tblSales[[#This Row],[Discount Amount]]</f>
        <v>68000</v>
      </c>
    </row>
    <row r="209" spans="1:18" x14ac:dyDescent="0.35">
      <c r="A209" t="str">
        <f t="shared" si="3"/>
        <v>ORD-2026-0208</v>
      </c>
      <c r="B209" s="2">
        <v>45998</v>
      </c>
      <c r="C209" t="str">
        <f>TEXT(tblSales[[#This Row],[Date]],"mmmm")</f>
        <v>December</v>
      </c>
      <c r="D209" t="s">
        <v>20</v>
      </c>
      <c r="E209" t="str">
        <f>_xlfn.XLOOKUP(tblSales[[#This Row],[Saleperson]],Lookup_Tables!$B$5:$B$16,Lookup_Tables!$C$5:$C$16)</f>
        <v>East</v>
      </c>
      <c r="F209" s="5" t="s">
        <v>80</v>
      </c>
      <c r="G209" t="str">
        <f>_xlfn.XLOOKUP(tblSales[[#This Row],[Customer]],Lookup_Tables!$I$5:$I$34,Lookup_Tables!$J$5:$J$34)</f>
        <v>Retail</v>
      </c>
      <c r="H209" t="str">
        <f>_xlfn.XLOOKUP(tblSales[[#This Row],[Product]],Lookup_Tables!$F$5:$F$23,Lookup_Tables!$E$5:$E$23,"")</f>
        <v>Office Supplies</v>
      </c>
      <c r="I209" t="s">
        <v>55</v>
      </c>
      <c r="J209" s="11">
        <v>5</v>
      </c>
      <c r="K209" s="1">
        <f>_xlfn.XLOOKUP(tblSales[[#This Row],[Product]],Lookup_Tables!$F$5:$F$23,Lookup_Tables!$G$5:$G$23,"")</f>
        <v>75</v>
      </c>
      <c r="L209" s="12">
        <f>_xlfn.XLOOKUP(tblSales[[#This Row],[Customer Type]],Lookup_Tables!$B$19:$B$21,Lookup_Tables!$C$19:$C$21,0)</f>
        <v>0</v>
      </c>
      <c r="M209" t="s">
        <v>35</v>
      </c>
      <c r="N209" s="11" t="str">
        <f>"Q"&amp;ROUNDUP(MONTH(tblSales[[#This Row],[Date]])/3,0)</f>
        <v>Q4</v>
      </c>
      <c r="O209" s="11">
        <f>YEAR(tblSales[[#This Row],[Date]])</f>
        <v>2025</v>
      </c>
      <c r="P209" s="1">
        <f>tblSales[[#This Row],[Quantity]]*tblSales[[#This Row],[Unit Price]]</f>
        <v>375</v>
      </c>
      <c r="Q209" s="1">
        <f>tblSales[[#This Row],[Gross Sales]]*tblSales[[#This Row],[Discount%]]</f>
        <v>0</v>
      </c>
      <c r="R209" s="1">
        <f>tblSales[[#This Row],[Gross Sales]]-tblSales[[#This Row],[Discount Amount]]</f>
        <v>375</v>
      </c>
    </row>
    <row r="210" spans="1:18" x14ac:dyDescent="0.35">
      <c r="A210" t="str">
        <f t="shared" si="3"/>
        <v>ORD-2026-0209</v>
      </c>
      <c r="B210" s="2">
        <v>45999</v>
      </c>
      <c r="C210" t="str">
        <f>TEXT(tblSales[[#This Row],[Date]],"mmmm")</f>
        <v>December</v>
      </c>
      <c r="D210" t="s">
        <v>27</v>
      </c>
      <c r="E210" t="str">
        <f>_xlfn.XLOOKUP(tblSales[[#This Row],[Saleperson]],Lookup_Tables!$B$5:$B$16,Lookup_Tables!$C$5:$C$16)</f>
        <v>East</v>
      </c>
      <c r="F210" s="5" t="s">
        <v>67</v>
      </c>
      <c r="G210" t="str">
        <f>_xlfn.XLOOKUP(tblSales[[#This Row],[Customer]],Lookup_Tables!$I$5:$I$34,Lookup_Tables!$J$5:$J$34)</f>
        <v>Government</v>
      </c>
      <c r="H210" t="str">
        <f>_xlfn.XLOOKUP(tblSales[[#This Row],[Product]],Lookup_Tables!$F$5:$F$23,Lookup_Tables!$E$5:$E$23,"")</f>
        <v>Electronics</v>
      </c>
      <c r="I210" t="s">
        <v>41</v>
      </c>
      <c r="J210" s="11">
        <v>7</v>
      </c>
      <c r="K210" s="1">
        <f>_xlfn.XLOOKUP(tblSales[[#This Row],[Product]],Lookup_Tables!$F$5:$F$23,Lookup_Tables!$G$5:$G$23,"")</f>
        <v>720</v>
      </c>
      <c r="L210" s="12">
        <f>_xlfn.XLOOKUP(tblSales[[#This Row],[Customer Type]],Lookup_Tables!$B$19:$B$21,Lookup_Tables!$C$19:$C$21,0)</f>
        <v>0.15</v>
      </c>
      <c r="M210" t="s">
        <v>33</v>
      </c>
      <c r="N210" s="11" t="str">
        <f>"Q"&amp;ROUNDUP(MONTH(tblSales[[#This Row],[Date]])/3,0)</f>
        <v>Q4</v>
      </c>
      <c r="O210" s="11">
        <f>YEAR(tblSales[[#This Row],[Date]])</f>
        <v>2025</v>
      </c>
      <c r="P210" s="1">
        <f>tblSales[[#This Row],[Quantity]]*tblSales[[#This Row],[Unit Price]]</f>
        <v>5040</v>
      </c>
      <c r="Q210" s="1">
        <f>tblSales[[#This Row],[Gross Sales]]*tblSales[[#This Row],[Discount%]]</f>
        <v>756</v>
      </c>
      <c r="R210" s="1">
        <f>tblSales[[#This Row],[Gross Sales]]-tblSales[[#This Row],[Discount Amount]]</f>
        <v>4284</v>
      </c>
    </row>
    <row r="211" spans="1:18" x14ac:dyDescent="0.35">
      <c r="A211" t="str">
        <f t="shared" si="3"/>
        <v>ORD-2026-0210</v>
      </c>
      <c r="B211" s="2">
        <v>45999</v>
      </c>
      <c r="C211" t="str">
        <f>TEXT(tblSales[[#This Row],[Date]],"mmmm")</f>
        <v>December</v>
      </c>
      <c r="D211" t="s">
        <v>28</v>
      </c>
      <c r="E211" t="str">
        <f>_xlfn.XLOOKUP(tblSales[[#This Row],[Saleperson]],Lookup_Tables!$B$5:$B$16,Lookup_Tables!$C$5:$C$16)</f>
        <v>South</v>
      </c>
      <c r="F211" s="5" t="s">
        <v>91</v>
      </c>
      <c r="G211" t="str">
        <f>_xlfn.XLOOKUP(tblSales[[#This Row],[Customer]],Lookup_Tables!$I$5:$I$34,Lookup_Tables!$J$5:$J$34)</f>
        <v>Corporate</v>
      </c>
      <c r="H211" t="str">
        <f>_xlfn.XLOOKUP(tblSales[[#This Row],[Product]],Lookup_Tables!$F$5:$F$23,Lookup_Tables!$E$5:$E$23,"")</f>
        <v>Electronics</v>
      </c>
      <c r="I211" t="s">
        <v>40</v>
      </c>
      <c r="J211" s="11">
        <v>6</v>
      </c>
      <c r="K211" s="1">
        <f>_xlfn.XLOOKUP(tblSales[[#This Row],[Product]],Lookup_Tables!$F$5:$F$23,Lookup_Tables!$G$5:$G$23,"")</f>
        <v>850</v>
      </c>
      <c r="L211" s="12">
        <f>_xlfn.XLOOKUP(tblSales[[#This Row],[Customer Type]],Lookup_Tables!$B$19:$B$21,Lookup_Tables!$C$19:$C$21,0)</f>
        <v>0.1</v>
      </c>
      <c r="M211" t="s">
        <v>33</v>
      </c>
      <c r="N211" s="11" t="str">
        <f>"Q"&amp;ROUNDUP(MONTH(tblSales[[#This Row],[Date]])/3,0)</f>
        <v>Q4</v>
      </c>
      <c r="O211" s="11">
        <f>YEAR(tblSales[[#This Row],[Date]])</f>
        <v>2025</v>
      </c>
      <c r="P211" s="1">
        <f>tblSales[[#This Row],[Quantity]]*tblSales[[#This Row],[Unit Price]]</f>
        <v>5100</v>
      </c>
      <c r="Q211" s="1">
        <f>tblSales[[#This Row],[Gross Sales]]*tblSales[[#This Row],[Discount%]]</f>
        <v>510</v>
      </c>
      <c r="R211" s="1">
        <f>tblSales[[#This Row],[Gross Sales]]-tblSales[[#This Row],[Discount Amount]]</f>
        <v>4590</v>
      </c>
    </row>
    <row r="212" spans="1:18" x14ac:dyDescent="0.35">
      <c r="A212" t="str">
        <f t="shared" si="3"/>
        <v>ORD-2026-0211</v>
      </c>
      <c r="B212" s="2">
        <v>45999</v>
      </c>
      <c r="C212" t="str">
        <f>TEXT(tblSales[[#This Row],[Date]],"mmmm")</f>
        <v>December</v>
      </c>
      <c r="D212" t="s">
        <v>28</v>
      </c>
      <c r="E212" t="str">
        <f>_xlfn.XLOOKUP(tblSales[[#This Row],[Saleperson]],Lookup_Tables!$B$5:$B$16,Lookup_Tables!$C$5:$C$16)</f>
        <v>South</v>
      </c>
      <c r="F212" t="s">
        <v>63</v>
      </c>
      <c r="G212" t="str">
        <f>_xlfn.XLOOKUP(tblSales[[#This Row],[Customer]],Lookup_Tables!$I$5:$I$34,Lookup_Tables!$J$5:$J$34)</f>
        <v>Retail</v>
      </c>
      <c r="H212" t="str">
        <f>_xlfn.XLOOKUP(tblSales[[#This Row],[Product]],Lookup_Tables!$F$5:$F$23,Lookup_Tables!$E$5:$E$23,"")</f>
        <v>Office Supplies</v>
      </c>
      <c r="I212" t="s">
        <v>51</v>
      </c>
      <c r="J212" s="11">
        <v>7</v>
      </c>
      <c r="K212" s="1">
        <f>_xlfn.XLOOKUP(tblSales[[#This Row],[Product]],Lookup_Tables!$F$5:$F$23,Lookup_Tables!$G$5:$G$23,"")</f>
        <v>90</v>
      </c>
      <c r="L212" s="12">
        <f>_xlfn.XLOOKUP(tblSales[[#This Row],[Customer Type]],Lookup_Tables!$B$19:$B$21,Lookup_Tables!$C$19:$C$21,0)</f>
        <v>0</v>
      </c>
      <c r="M212" t="s">
        <v>33</v>
      </c>
      <c r="N212" s="11" t="str">
        <f>"Q"&amp;ROUNDUP(MONTH(tblSales[[#This Row],[Date]])/3,0)</f>
        <v>Q4</v>
      </c>
      <c r="O212" s="11">
        <f>YEAR(tblSales[[#This Row],[Date]])</f>
        <v>2025</v>
      </c>
      <c r="P212" s="1">
        <f>tblSales[[#This Row],[Quantity]]*tblSales[[#This Row],[Unit Price]]</f>
        <v>630</v>
      </c>
      <c r="Q212" s="1">
        <f>tblSales[[#This Row],[Gross Sales]]*tblSales[[#This Row],[Discount%]]</f>
        <v>0</v>
      </c>
      <c r="R212" s="1">
        <f>tblSales[[#This Row],[Gross Sales]]-tblSales[[#This Row],[Discount Amount]]</f>
        <v>630</v>
      </c>
    </row>
    <row r="213" spans="1:18" x14ac:dyDescent="0.35">
      <c r="A213" t="str">
        <f t="shared" si="3"/>
        <v>ORD-2026-0212</v>
      </c>
      <c r="B213" s="2">
        <v>45999</v>
      </c>
      <c r="C213" t="str">
        <f>TEXT(tblSales[[#This Row],[Date]],"mmmm")</f>
        <v>December</v>
      </c>
      <c r="D213" t="s">
        <v>23</v>
      </c>
      <c r="E213" t="str">
        <f>_xlfn.XLOOKUP(tblSales[[#This Row],[Saleperson]],Lookup_Tables!$B$5:$B$16,Lookup_Tables!$C$5:$C$16)</f>
        <v>West</v>
      </c>
      <c r="F213" s="5" t="s">
        <v>70</v>
      </c>
      <c r="G213" t="str">
        <f>_xlfn.XLOOKUP(tblSales[[#This Row],[Customer]],Lookup_Tables!$I$5:$I$34,Lookup_Tables!$J$5:$J$34)</f>
        <v>Retail</v>
      </c>
      <c r="H213" t="str">
        <f>_xlfn.XLOOKUP(tblSales[[#This Row],[Product]],Lookup_Tables!$F$5:$F$23,Lookup_Tables!$E$5:$E$23,"")</f>
        <v>Office Supplies</v>
      </c>
      <c r="I213" t="s">
        <v>54</v>
      </c>
      <c r="J213" s="11">
        <v>5</v>
      </c>
      <c r="K213" s="1">
        <f>_xlfn.XLOOKUP(tblSales[[#This Row],[Product]],Lookup_Tables!$F$5:$F$23,Lookup_Tables!$G$5:$G$23,"")</f>
        <v>210</v>
      </c>
      <c r="L213" s="12">
        <f>_xlfn.XLOOKUP(tblSales[[#This Row],[Customer Type]],Lookup_Tables!$B$19:$B$21,Lookup_Tables!$C$19:$C$21,0)</f>
        <v>0</v>
      </c>
      <c r="M213" t="s">
        <v>32</v>
      </c>
      <c r="N213" s="11" t="str">
        <f>"Q"&amp;ROUNDUP(MONTH(tblSales[[#This Row],[Date]])/3,0)</f>
        <v>Q4</v>
      </c>
      <c r="O213" s="11">
        <f>YEAR(tblSales[[#This Row],[Date]])</f>
        <v>2025</v>
      </c>
      <c r="P213" s="1">
        <f>tblSales[[#This Row],[Quantity]]*tblSales[[#This Row],[Unit Price]]</f>
        <v>1050</v>
      </c>
      <c r="Q213" s="1">
        <f>tblSales[[#This Row],[Gross Sales]]*tblSales[[#This Row],[Discount%]]</f>
        <v>0</v>
      </c>
      <c r="R213" s="1">
        <f>tblSales[[#This Row],[Gross Sales]]-tblSales[[#This Row],[Discount Amount]]</f>
        <v>1050</v>
      </c>
    </row>
    <row r="214" spans="1:18" x14ac:dyDescent="0.35">
      <c r="A214" t="str">
        <f t="shared" si="3"/>
        <v>ORD-2026-0213</v>
      </c>
      <c r="B214" s="2">
        <v>45999</v>
      </c>
      <c r="C214" t="str">
        <f>TEXT(tblSales[[#This Row],[Date]],"mmmm")</f>
        <v>December</v>
      </c>
      <c r="D214" t="s">
        <v>21</v>
      </c>
      <c r="E214" t="str">
        <f>_xlfn.XLOOKUP(tblSales[[#This Row],[Saleperson]],Lookup_Tables!$B$5:$B$16,Lookup_Tables!$C$5:$C$16)</f>
        <v>South</v>
      </c>
      <c r="F214" s="5" t="s">
        <v>90</v>
      </c>
      <c r="G214" t="str">
        <f>_xlfn.XLOOKUP(tblSales[[#This Row],[Customer]],Lookup_Tables!$I$5:$I$34,Lookup_Tables!$J$5:$J$34)</f>
        <v>Corporate</v>
      </c>
      <c r="H214" t="str">
        <f>_xlfn.XLOOKUP(tblSales[[#This Row],[Product]],Lookup_Tables!$F$5:$F$23,Lookup_Tables!$E$5:$E$23,"")</f>
        <v>Office Supplies</v>
      </c>
      <c r="I214" t="s">
        <v>57</v>
      </c>
      <c r="J214" s="11">
        <v>5</v>
      </c>
      <c r="K214" s="1">
        <f>_xlfn.XLOOKUP(tblSales[[#This Row],[Product]],Lookup_Tables!$F$5:$F$23,Lookup_Tables!$G$5:$G$23,"")</f>
        <v>5000</v>
      </c>
      <c r="L214" s="12">
        <f>_xlfn.XLOOKUP(tblSales[[#This Row],[Customer Type]],Lookup_Tables!$B$19:$B$21,Lookup_Tables!$C$19:$C$21,0)</f>
        <v>0.1</v>
      </c>
      <c r="M214" t="s">
        <v>34</v>
      </c>
      <c r="N214" s="11" t="str">
        <f>"Q"&amp;ROUNDUP(MONTH(tblSales[[#This Row],[Date]])/3,0)</f>
        <v>Q4</v>
      </c>
      <c r="O214" s="11">
        <f>YEAR(tblSales[[#This Row],[Date]])</f>
        <v>2025</v>
      </c>
      <c r="P214" s="1">
        <f>tblSales[[#This Row],[Quantity]]*tblSales[[#This Row],[Unit Price]]</f>
        <v>25000</v>
      </c>
      <c r="Q214" s="1">
        <f>tblSales[[#This Row],[Gross Sales]]*tblSales[[#This Row],[Discount%]]</f>
        <v>2500</v>
      </c>
      <c r="R214" s="1">
        <f>tblSales[[#This Row],[Gross Sales]]-tblSales[[#This Row],[Discount Amount]]</f>
        <v>22500</v>
      </c>
    </row>
    <row r="215" spans="1:18" x14ac:dyDescent="0.35">
      <c r="A215" t="str">
        <f t="shared" si="3"/>
        <v>ORD-2026-0214</v>
      </c>
      <c r="B215" s="2">
        <v>46000</v>
      </c>
      <c r="C215" t="str">
        <f>TEXT(tblSales[[#This Row],[Date]],"mmmm")</f>
        <v>December</v>
      </c>
      <c r="D215" t="s">
        <v>28</v>
      </c>
      <c r="E215" t="str">
        <f>_xlfn.XLOOKUP(tblSales[[#This Row],[Saleperson]],Lookup_Tables!$B$5:$B$16,Lookup_Tables!$C$5:$C$16)</f>
        <v>South</v>
      </c>
      <c r="F215" s="5" t="s">
        <v>69</v>
      </c>
      <c r="G215" t="str">
        <f>_xlfn.XLOOKUP(tblSales[[#This Row],[Customer]],Lookup_Tables!$I$5:$I$34,Lookup_Tables!$J$5:$J$34)</f>
        <v>Retail</v>
      </c>
      <c r="H215" t="str">
        <f>_xlfn.XLOOKUP(tblSales[[#This Row],[Product]],Lookup_Tables!$F$5:$F$23,Lookup_Tables!$E$5:$E$23,"")</f>
        <v>Electronics</v>
      </c>
      <c r="I215" t="s">
        <v>38</v>
      </c>
      <c r="J215" s="11">
        <v>6</v>
      </c>
      <c r="K215" s="1">
        <f>_xlfn.XLOOKUP(tblSales[[#This Row],[Product]],Lookup_Tables!$F$5:$F$23,Lookup_Tables!$G$5:$G$23,"")</f>
        <v>6000</v>
      </c>
      <c r="L215" s="12">
        <f>_xlfn.XLOOKUP(tblSales[[#This Row],[Customer Type]],Lookup_Tables!$B$19:$B$21,Lookup_Tables!$C$19:$C$21,0)</f>
        <v>0</v>
      </c>
      <c r="M215" t="s">
        <v>34</v>
      </c>
      <c r="N215" s="11" t="str">
        <f>"Q"&amp;ROUNDUP(MONTH(tblSales[[#This Row],[Date]])/3,0)</f>
        <v>Q4</v>
      </c>
      <c r="O215" s="11">
        <f>YEAR(tblSales[[#This Row],[Date]])</f>
        <v>2025</v>
      </c>
      <c r="P215" s="1">
        <f>tblSales[[#This Row],[Quantity]]*tblSales[[#This Row],[Unit Price]]</f>
        <v>36000</v>
      </c>
      <c r="Q215" s="1">
        <f>tblSales[[#This Row],[Gross Sales]]*tblSales[[#This Row],[Discount%]]</f>
        <v>0</v>
      </c>
      <c r="R215" s="1">
        <f>tblSales[[#This Row],[Gross Sales]]-tblSales[[#This Row],[Discount Amount]]</f>
        <v>36000</v>
      </c>
    </row>
    <row r="216" spans="1:18" x14ac:dyDescent="0.35">
      <c r="A216" t="str">
        <f t="shared" si="3"/>
        <v>ORD-2026-0215</v>
      </c>
      <c r="B216" s="2">
        <v>46001</v>
      </c>
      <c r="C216" t="str">
        <f>TEXT(tblSales[[#This Row],[Date]],"mmmm")</f>
        <v>December</v>
      </c>
      <c r="D216" t="s">
        <v>19</v>
      </c>
      <c r="E216" t="str">
        <f>_xlfn.XLOOKUP(tblSales[[#This Row],[Saleperson]],Lookup_Tables!$B$5:$B$16,Lookup_Tables!$C$5:$C$16)</f>
        <v>West</v>
      </c>
      <c r="F216" t="s">
        <v>65</v>
      </c>
      <c r="G216" t="str">
        <f>_xlfn.XLOOKUP(tblSales[[#This Row],[Customer]],Lookup_Tables!$I$5:$I$34,Lookup_Tables!$J$5:$J$34)</f>
        <v>Retail</v>
      </c>
      <c r="H216" t="str">
        <f>_xlfn.XLOOKUP(tblSales[[#This Row],[Product]],Lookup_Tables!$F$5:$F$23,Lookup_Tables!$E$5:$E$23,"")</f>
        <v>Office Supplies</v>
      </c>
      <c r="I216" t="s">
        <v>56</v>
      </c>
      <c r="J216" s="11">
        <v>1</v>
      </c>
      <c r="K216" s="1">
        <f>_xlfn.XLOOKUP(tblSales[[#This Row],[Product]],Lookup_Tables!$F$5:$F$23,Lookup_Tables!$G$5:$G$23,"")</f>
        <v>190</v>
      </c>
      <c r="L216" s="12">
        <f>_xlfn.XLOOKUP(tblSales[[#This Row],[Customer Type]],Lookup_Tables!$B$19:$B$21,Lookup_Tables!$C$19:$C$21,0)</f>
        <v>0</v>
      </c>
      <c r="M216" t="s">
        <v>32</v>
      </c>
      <c r="N216" s="11" t="str">
        <f>"Q"&amp;ROUNDUP(MONTH(tblSales[[#This Row],[Date]])/3,0)</f>
        <v>Q4</v>
      </c>
      <c r="O216" s="11">
        <f>YEAR(tblSales[[#This Row],[Date]])</f>
        <v>2025</v>
      </c>
      <c r="P216" s="1">
        <f>tblSales[[#This Row],[Quantity]]*tblSales[[#This Row],[Unit Price]]</f>
        <v>190</v>
      </c>
      <c r="Q216" s="1">
        <f>tblSales[[#This Row],[Gross Sales]]*tblSales[[#This Row],[Discount%]]</f>
        <v>0</v>
      </c>
      <c r="R216" s="1">
        <f>tblSales[[#This Row],[Gross Sales]]-tblSales[[#This Row],[Discount Amount]]</f>
        <v>190</v>
      </c>
    </row>
    <row r="217" spans="1:18" x14ac:dyDescent="0.35">
      <c r="A217" t="str">
        <f t="shared" si="3"/>
        <v>ORD-2026-0216</v>
      </c>
      <c r="B217" s="2">
        <v>46001</v>
      </c>
      <c r="C217" t="str">
        <f>TEXT(tblSales[[#This Row],[Date]],"mmmm")</f>
        <v>December</v>
      </c>
      <c r="D217" t="s">
        <v>26</v>
      </c>
      <c r="E217" t="str">
        <f>_xlfn.XLOOKUP(tblSales[[#This Row],[Saleperson]],Lookup_Tables!$B$5:$B$16,Lookup_Tables!$C$5:$C$16)</f>
        <v>North</v>
      </c>
      <c r="F217" t="s">
        <v>63</v>
      </c>
      <c r="G217" t="str">
        <f>_xlfn.XLOOKUP(tblSales[[#This Row],[Customer]],Lookup_Tables!$I$5:$I$34,Lookup_Tables!$J$5:$J$34)</f>
        <v>Retail</v>
      </c>
      <c r="H217" t="str">
        <f>_xlfn.XLOOKUP(tblSales[[#This Row],[Product]],Lookup_Tables!$F$5:$F$23,Lookup_Tables!$E$5:$E$23,"")</f>
        <v>Office Supplies</v>
      </c>
      <c r="I217" t="s">
        <v>57</v>
      </c>
      <c r="J217" s="11">
        <v>7</v>
      </c>
      <c r="K217" s="1">
        <f>_xlfn.XLOOKUP(tblSales[[#This Row],[Product]],Lookup_Tables!$F$5:$F$23,Lookup_Tables!$G$5:$G$23,"")</f>
        <v>5000</v>
      </c>
      <c r="L217" s="12">
        <f>_xlfn.XLOOKUP(tblSales[[#This Row],[Customer Type]],Lookup_Tables!$B$19:$B$21,Lookup_Tables!$C$19:$C$21,0)</f>
        <v>0</v>
      </c>
      <c r="M217" t="s">
        <v>35</v>
      </c>
      <c r="N217" s="11" t="str">
        <f>"Q"&amp;ROUNDUP(MONTH(tblSales[[#This Row],[Date]])/3,0)</f>
        <v>Q4</v>
      </c>
      <c r="O217" s="11">
        <f>YEAR(tblSales[[#This Row],[Date]])</f>
        <v>2025</v>
      </c>
      <c r="P217" s="1">
        <f>tblSales[[#This Row],[Quantity]]*tblSales[[#This Row],[Unit Price]]</f>
        <v>35000</v>
      </c>
      <c r="Q217" s="1">
        <f>tblSales[[#This Row],[Gross Sales]]*tblSales[[#This Row],[Discount%]]</f>
        <v>0</v>
      </c>
      <c r="R217" s="1">
        <f>tblSales[[#This Row],[Gross Sales]]-tblSales[[#This Row],[Discount Amount]]</f>
        <v>35000</v>
      </c>
    </row>
    <row r="218" spans="1:18" x14ac:dyDescent="0.35">
      <c r="A218" t="str">
        <f t="shared" si="3"/>
        <v>ORD-2026-0217</v>
      </c>
      <c r="B218" s="2">
        <v>46001</v>
      </c>
      <c r="C218" t="str">
        <f>TEXT(tblSales[[#This Row],[Date]],"mmmm")</f>
        <v>December</v>
      </c>
      <c r="D218" t="s">
        <v>28</v>
      </c>
      <c r="E218" t="str">
        <f>_xlfn.XLOOKUP(tblSales[[#This Row],[Saleperson]],Lookup_Tables!$B$5:$B$16,Lookup_Tables!$C$5:$C$16)</f>
        <v>South</v>
      </c>
      <c r="F218" s="5" t="s">
        <v>80</v>
      </c>
      <c r="G218" t="str">
        <f>_xlfn.XLOOKUP(tblSales[[#This Row],[Customer]],Lookup_Tables!$I$5:$I$34,Lookup_Tables!$J$5:$J$34)</f>
        <v>Retail</v>
      </c>
      <c r="H218" t="str">
        <f>_xlfn.XLOOKUP(tblSales[[#This Row],[Product]],Lookup_Tables!$F$5:$F$23,Lookup_Tables!$E$5:$E$23,"")</f>
        <v>Office Supplies</v>
      </c>
      <c r="I218" t="s">
        <v>56</v>
      </c>
      <c r="J218" s="11">
        <v>1</v>
      </c>
      <c r="K218" s="1">
        <f>_xlfn.XLOOKUP(tblSales[[#This Row],[Product]],Lookup_Tables!$F$5:$F$23,Lookup_Tables!$G$5:$G$23,"")</f>
        <v>190</v>
      </c>
      <c r="L218" s="12">
        <f>_xlfn.XLOOKUP(tblSales[[#This Row],[Customer Type]],Lookup_Tables!$B$19:$B$21,Lookup_Tables!$C$19:$C$21,0)</f>
        <v>0</v>
      </c>
      <c r="M218" t="s">
        <v>32</v>
      </c>
      <c r="N218" s="11" t="str">
        <f>"Q"&amp;ROUNDUP(MONTH(tblSales[[#This Row],[Date]])/3,0)</f>
        <v>Q4</v>
      </c>
      <c r="O218" s="11">
        <f>YEAR(tblSales[[#This Row],[Date]])</f>
        <v>2025</v>
      </c>
      <c r="P218" s="1">
        <f>tblSales[[#This Row],[Quantity]]*tblSales[[#This Row],[Unit Price]]</f>
        <v>190</v>
      </c>
      <c r="Q218" s="1">
        <f>tblSales[[#This Row],[Gross Sales]]*tblSales[[#This Row],[Discount%]]</f>
        <v>0</v>
      </c>
      <c r="R218" s="1">
        <f>tblSales[[#This Row],[Gross Sales]]-tblSales[[#This Row],[Discount Amount]]</f>
        <v>190</v>
      </c>
    </row>
    <row r="219" spans="1:18" x14ac:dyDescent="0.35">
      <c r="A219" t="str">
        <f t="shared" si="3"/>
        <v>ORD-2026-0218</v>
      </c>
      <c r="B219" s="2">
        <v>46002</v>
      </c>
      <c r="C219" t="str">
        <f>TEXT(tblSales[[#This Row],[Date]],"mmmm")</f>
        <v>December</v>
      </c>
      <c r="D219" t="s">
        <v>18</v>
      </c>
      <c r="E219" t="str">
        <f>_xlfn.XLOOKUP(tblSales[[#This Row],[Saleperson]],Lookup_Tables!$B$5:$B$16,Lookup_Tables!$C$5:$C$16)</f>
        <v>South</v>
      </c>
      <c r="F219" s="5" t="s">
        <v>68</v>
      </c>
      <c r="G219" t="str">
        <f>_xlfn.XLOOKUP(tblSales[[#This Row],[Customer]],Lookup_Tables!$I$5:$I$34,Lookup_Tables!$J$5:$J$34)</f>
        <v>Government</v>
      </c>
      <c r="H219" t="str">
        <f>_xlfn.XLOOKUP(tblSales[[#This Row],[Product]],Lookup_Tables!$F$5:$F$23,Lookup_Tables!$E$5:$E$23,"")</f>
        <v>Electronics</v>
      </c>
      <c r="I219" t="s">
        <v>39</v>
      </c>
      <c r="J219" s="11">
        <v>6</v>
      </c>
      <c r="K219" s="1">
        <f>_xlfn.XLOOKUP(tblSales[[#This Row],[Product]],Lookup_Tables!$F$5:$F$23,Lookup_Tables!$G$5:$G$23,"")</f>
        <v>9500</v>
      </c>
      <c r="L219" s="12">
        <f>_xlfn.XLOOKUP(tblSales[[#This Row],[Customer Type]],Lookup_Tables!$B$19:$B$21,Lookup_Tables!$C$19:$C$21,0)</f>
        <v>0.15</v>
      </c>
      <c r="M219" t="s">
        <v>33</v>
      </c>
      <c r="N219" s="11" t="str">
        <f>"Q"&amp;ROUNDUP(MONTH(tblSales[[#This Row],[Date]])/3,0)</f>
        <v>Q4</v>
      </c>
      <c r="O219" s="11">
        <f>YEAR(tblSales[[#This Row],[Date]])</f>
        <v>2025</v>
      </c>
      <c r="P219" s="1">
        <f>tblSales[[#This Row],[Quantity]]*tblSales[[#This Row],[Unit Price]]</f>
        <v>57000</v>
      </c>
      <c r="Q219" s="1">
        <f>tblSales[[#This Row],[Gross Sales]]*tblSales[[#This Row],[Discount%]]</f>
        <v>8550</v>
      </c>
      <c r="R219" s="1">
        <f>tblSales[[#This Row],[Gross Sales]]-tblSales[[#This Row],[Discount Amount]]</f>
        <v>48450</v>
      </c>
    </row>
    <row r="220" spans="1:18" x14ac:dyDescent="0.35">
      <c r="A220" t="str">
        <f t="shared" si="3"/>
        <v>ORD-2026-0219</v>
      </c>
      <c r="B220" s="2">
        <v>46003</v>
      </c>
      <c r="C220" t="str">
        <f>TEXT(tblSales[[#This Row],[Date]],"mmmm")</f>
        <v>December</v>
      </c>
      <c r="D220" t="s">
        <v>25</v>
      </c>
      <c r="E220" t="str">
        <f>_xlfn.XLOOKUP(tblSales[[#This Row],[Saleperson]],Lookup_Tables!$B$5:$B$16,Lookup_Tables!$C$5:$C$16)</f>
        <v>West</v>
      </c>
      <c r="F220" s="5" t="s">
        <v>81</v>
      </c>
      <c r="G220" t="str">
        <f>_xlfn.XLOOKUP(tblSales[[#This Row],[Customer]],Lookup_Tables!$I$5:$I$34,Lookup_Tables!$J$5:$J$34)</f>
        <v>Corporate</v>
      </c>
      <c r="H220" t="str">
        <f>_xlfn.XLOOKUP(tblSales[[#This Row],[Product]],Lookup_Tables!$F$5:$F$23,Lookup_Tables!$E$5:$E$23,"")</f>
        <v>Furniture</v>
      </c>
      <c r="I220" t="s">
        <v>44</v>
      </c>
      <c r="J220" s="11">
        <v>6</v>
      </c>
      <c r="K220" s="1">
        <f>_xlfn.XLOOKUP(tblSales[[#This Row],[Product]],Lookup_Tables!$F$5:$F$23,Lookup_Tables!$G$5:$G$23,"")</f>
        <v>6900</v>
      </c>
      <c r="L220" s="12">
        <f>_xlfn.XLOOKUP(tblSales[[#This Row],[Customer Type]],Lookup_Tables!$B$19:$B$21,Lookup_Tables!$C$19:$C$21,0)</f>
        <v>0.1</v>
      </c>
      <c r="M220" t="s">
        <v>33</v>
      </c>
      <c r="N220" s="11" t="str">
        <f>"Q"&amp;ROUNDUP(MONTH(tblSales[[#This Row],[Date]])/3,0)</f>
        <v>Q4</v>
      </c>
      <c r="O220" s="11">
        <f>YEAR(tblSales[[#This Row],[Date]])</f>
        <v>2025</v>
      </c>
      <c r="P220" s="1">
        <f>tblSales[[#This Row],[Quantity]]*tblSales[[#This Row],[Unit Price]]</f>
        <v>41400</v>
      </c>
      <c r="Q220" s="1">
        <f>tblSales[[#This Row],[Gross Sales]]*tblSales[[#This Row],[Discount%]]</f>
        <v>4140</v>
      </c>
      <c r="R220" s="1">
        <f>tblSales[[#This Row],[Gross Sales]]-tblSales[[#This Row],[Discount Amount]]</f>
        <v>37260</v>
      </c>
    </row>
    <row r="221" spans="1:18" x14ac:dyDescent="0.35">
      <c r="A221" t="str">
        <f t="shared" si="3"/>
        <v>ORD-2026-0220</v>
      </c>
      <c r="B221" s="2">
        <v>46004</v>
      </c>
      <c r="C221" t="str">
        <f>TEXT(tblSales[[#This Row],[Date]],"mmmm")</f>
        <v>December</v>
      </c>
      <c r="D221" t="s">
        <v>22</v>
      </c>
      <c r="E221" t="str">
        <f>_xlfn.XLOOKUP(tblSales[[#This Row],[Saleperson]],Lookup_Tables!$B$5:$B$16,Lookup_Tables!$C$5:$C$16)</f>
        <v>North</v>
      </c>
      <c r="F221" s="5" t="s">
        <v>70</v>
      </c>
      <c r="G221" t="str">
        <f>_xlfn.XLOOKUP(tblSales[[#This Row],[Customer]],Lookup_Tables!$I$5:$I$34,Lookup_Tables!$J$5:$J$34)</f>
        <v>Retail</v>
      </c>
      <c r="H221" t="str">
        <f>_xlfn.XLOOKUP(tblSales[[#This Row],[Product]],Lookup_Tables!$F$5:$F$23,Lookup_Tables!$E$5:$E$23,"")</f>
        <v>Office Supplies</v>
      </c>
      <c r="I221" t="s">
        <v>51</v>
      </c>
      <c r="J221" s="11">
        <v>6</v>
      </c>
      <c r="K221" s="1">
        <f>_xlfn.XLOOKUP(tblSales[[#This Row],[Product]],Lookup_Tables!$F$5:$F$23,Lookup_Tables!$G$5:$G$23,"")</f>
        <v>90</v>
      </c>
      <c r="L221" s="12">
        <f>_xlfn.XLOOKUP(tblSales[[#This Row],[Customer Type]],Lookup_Tables!$B$19:$B$21,Lookup_Tables!$C$19:$C$21,0)</f>
        <v>0</v>
      </c>
      <c r="M221" t="s">
        <v>35</v>
      </c>
      <c r="N221" s="11" t="str">
        <f>"Q"&amp;ROUNDUP(MONTH(tblSales[[#This Row],[Date]])/3,0)</f>
        <v>Q4</v>
      </c>
      <c r="O221" s="11">
        <f>YEAR(tblSales[[#This Row],[Date]])</f>
        <v>2025</v>
      </c>
      <c r="P221" s="1">
        <f>tblSales[[#This Row],[Quantity]]*tblSales[[#This Row],[Unit Price]]</f>
        <v>540</v>
      </c>
      <c r="Q221" s="1">
        <f>tblSales[[#This Row],[Gross Sales]]*tblSales[[#This Row],[Discount%]]</f>
        <v>0</v>
      </c>
      <c r="R221" s="1">
        <f>tblSales[[#This Row],[Gross Sales]]-tblSales[[#This Row],[Discount Amount]]</f>
        <v>540</v>
      </c>
    </row>
    <row r="222" spans="1:18" x14ac:dyDescent="0.35">
      <c r="A222" t="str">
        <f t="shared" si="3"/>
        <v>ORD-2026-0221</v>
      </c>
      <c r="B222" s="2">
        <v>46005</v>
      </c>
      <c r="C222" t="str">
        <f>TEXT(tblSales[[#This Row],[Date]],"mmmm")</f>
        <v>December</v>
      </c>
      <c r="D222" t="s">
        <v>24</v>
      </c>
      <c r="E222" t="str">
        <f>_xlfn.XLOOKUP(tblSales[[#This Row],[Saleperson]],Lookup_Tables!$B$5:$B$16,Lookup_Tables!$C$5:$C$16)</f>
        <v>South</v>
      </c>
      <c r="F222" t="s">
        <v>63</v>
      </c>
      <c r="G222" t="str">
        <f>_xlfn.XLOOKUP(tblSales[[#This Row],[Customer]],Lookup_Tables!$I$5:$I$34,Lookup_Tables!$J$5:$J$34)</f>
        <v>Retail</v>
      </c>
      <c r="H222" t="str">
        <f>_xlfn.XLOOKUP(tblSales[[#This Row],[Product]],Lookup_Tables!$F$5:$F$23,Lookup_Tables!$E$5:$E$23,"")</f>
        <v>Office Supplies</v>
      </c>
      <c r="I222" t="s">
        <v>54</v>
      </c>
      <c r="J222" s="11">
        <v>1</v>
      </c>
      <c r="K222" s="1">
        <f>_xlfn.XLOOKUP(tblSales[[#This Row],[Product]],Lookup_Tables!$F$5:$F$23,Lookup_Tables!$G$5:$G$23,"")</f>
        <v>210</v>
      </c>
      <c r="L222" s="6">
        <f>_xlfn.XLOOKUP(tblSales[[#This Row],[Customer Type]],Lookup_Tables!$B$19:$B$21,Lookup_Tables!$C$19:$C$21,0)</f>
        <v>0</v>
      </c>
      <c r="M222" t="s">
        <v>34</v>
      </c>
      <c r="N222" s="11" t="str">
        <f>"Q"&amp;ROUNDUP(MONTH(tblSales[[#This Row],[Date]])/3,0)</f>
        <v>Q4</v>
      </c>
      <c r="O222" s="11">
        <f>YEAR(tblSales[[#This Row],[Date]])</f>
        <v>2025</v>
      </c>
      <c r="P222" s="1">
        <f>tblSales[[#This Row],[Quantity]]*tblSales[[#This Row],[Unit Price]]</f>
        <v>210</v>
      </c>
      <c r="Q222" s="1">
        <f>tblSales[[#This Row],[Gross Sales]]*tblSales[[#This Row],[Discount%]]</f>
        <v>0</v>
      </c>
      <c r="R222" s="1">
        <f>tblSales[[#This Row],[Gross Sales]]-tblSales[[#This Row],[Discount Amount]]</f>
        <v>210</v>
      </c>
    </row>
    <row r="223" spans="1:18" x14ac:dyDescent="0.35">
      <c r="A223" t="str">
        <f t="shared" si="3"/>
        <v>ORD-2026-0222</v>
      </c>
      <c r="B223" s="2">
        <v>46005</v>
      </c>
      <c r="C223" t="str">
        <f>TEXT(tblSales[[#This Row],[Date]],"mmmm")</f>
        <v>December</v>
      </c>
      <c r="D223" t="s">
        <v>28</v>
      </c>
      <c r="E223" t="str">
        <f>_xlfn.XLOOKUP(tblSales[[#This Row],[Saleperson]],Lookup_Tables!$B$5:$B$16,Lookup_Tables!$C$5:$C$16)</f>
        <v>South</v>
      </c>
      <c r="F223" t="s">
        <v>65</v>
      </c>
      <c r="G223" t="str">
        <f>_xlfn.XLOOKUP(tblSales[[#This Row],[Customer]],Lookup_Tables!$I$5:$I$34,Lookup_Tables!$J$5:$J$34)</f>
        <v>Retail</v>
      </c>
      <c r="H223" t="str">
        <f>_xlfn.XLOOKUP(tblSales[[#This Row],[Product]],Lookup_Tables!$F$5:$F$23,Lookup_Tables!$E$5:$E$23,"")</f>
        <v>Office Supplies</v>
      </c>
      <c r="I223" t="s">
        <v>51</v>
      </c>
      <c r="J223" s="11">
        <v>1</v>
      </c>
      <c r="K223" s="1">
        <f>_xlfn.XLOOKUP(tblSales[[#This Row],[Product]],Lookup_Tables!$F$5:$F$23,Lookup_Tables!$G$5:$G$23,"")</f>
        <v>90</v>
      </c>
      <c r="L223" s="12">
        <f>_xlfn.XLOOKUP(tblSales[[#This Row],[Customer Type]],Lookup_Tables!$B$19:$B$21,Lookup_Tables!$C$19:$C$21,0)</f>
        <v>0</v>
      </c>
      <c r="M223" t="s">
        <v>35</v>
      </c>
      <c r="N223" s="11" t="str">
        <f>"Q"&amp;ROUNDUP(MONTH(tblSales[[#This Row],[Date]])/3,0)</f>
        <v>Q4</v>
      </c>
      <c r="O223" s="11">
        <f>YEAR(tblSales[[#This Row],[Date]])</f>
        <v>2025</v>
      </c>
      <c r="P223" s="1">
        <f>tblSales[[#This Row],[Quantity]]*tblSales[[#This Row],[Unit Price]]</f>
        <v>90</v>
      </c>
      <c r="Q223" s="1">
        <f>tblSales[[#This Row],[Gross Sales]]*tblSales[[#This Row],[Discount%]]</f>
        <v>0</v>
      </c>
      <c r="R223" s="1">
        <f>tblSales[[#This Row],[Gross Sales]]-tblSales[[#This Row],[Discount Amount]]</f>
        <v>90</v>
      </c>
    </row>
    <row r="224" spans="1:18" x14ac:dyDescent="0.35">
      <c r="A224" t="str">
        <f t="shared" si="3"/>
        <v>ORD-2026-0223</v>
      </c>
      <c r="B224" s="2">
        <v>46005</v>
      </c>
      <c r="C224" t="str">
        <f>TEXT(tblSales[[#This Row],[Date]],"mmmm")</f>
        <v>December</v>
      </c>
      <c r="D224" t="s">
        <v>20</v>
      </c>
      <c r="E224" t="str">
        <f>_xlfn.XLOOKUP(tblSales[[#This Row],[Saleperson]],Lookup_Tables!$B$5:$B$16,Lookup_Tables!$C$5:$C$16)</f>
        <v>East</v>
      </c>
      <c r="F224" s="5" t="s">
        <v>67</v>
      </c>
      <c r="G224" t="str">
        <f>_xlfn.XLOOKUP(tblSales[[#This Row],[Customer]],Lookup_Tables!$I$5:$I$34,Lookup_Tables!$J$5:$J$34)</f>
        <v>Government</v>
      </c>
      <c r="H224" t="str">
        <f>_xlfn.XLOOKUP(tblSales[[#This Row],[Product]],Lookup_Tables!$F$5:$F$23,Lookup_Tables!$E$5:$E$23,"")</f>
        <v>Electronics</v>
      </c>
      <c r="I224" t="s">
        <v>40</v>
      </c>
      <c r="J224" s="11">
        <v>5</v>
      </c>
      <c r="K224" s="1">
        <f>_xlfn.XLOOKUP(tblSales[[#This Row],[Product]],Lookup_Tables!$F$5:$F$23,Lookup_Tables!$G$5:$G$23,"")</f>
        <v>850</v>
      </c>
      <c r="L224" s="12">
        <f>_xlfn.XLOOKUP(tblSales[[#This Row],[Customer Type]],Lookup_Tables!$B$19:$B$21,Lookup_Tables!$C$19:$C$21,0)</f>
        <v>0.15</v>
      </c>
      <c r="M224" t="s">
        <v>33</v>
      </c>
      <c r="N224" s="11" t="str">
        <f>"Q"&amp;ROUNDUP(MONTH(tblSales[[#This Row],[Date]])/3,0)</f>
        <v>Q4</v>
      </c>
      <c r="O224" s="11">
        <f>YEAR(tblSales[[#This Row],[Date]])</f>
        <v>2025</v>
      </c>
      <c r="P224" s="1">
        <f>tblSales[[#This Row],[Quantity]]*tblSales[[#This Row],[Unit Price]]</f>
        <v>4250</v>
      </c>
      <c r="Q224" s="1">
        <f>tblSales[[#This Row],[Gross Sales]]*tblSales[[#This Row],[Discount%]]</f>
        <v>637.5</v>
      </c>
      <c r="R224" s="1">
        <f>tblSales[[#This Row],[Gross Sales]]-tblSales[[#This Row],[Discount Amount]]</f>
        <v>3612.5</v>
      </c>
    </row>
    <row r="225" spans="1:18" x14ac:dyDescent="0.35">
      <c r="A225" t="str">
        <f t="shared" si="3"/>
        <v>ORD-2026-0224</v>
      </c>
      <c r="B225" s="2">
        <v>46005</v>
      </c>
      <c r="C225" t="str">
        <f>TEXT(tblSales[[#This Row],[Date]],"mmmm")</f>
        <v>December</v>
      </c>
      <c r="D225" t="s">
        <v>28</v>
      </c>
      <c r="E225" t="str">
        <f>_xlfn.XLOOKUP(tblSales[[#This Row],[Saleperson]],Lookup_Tables!$B$5:$B$16,Lookup_Tables!$C$5:$C$16)</f>
        <v>South</v>
      </c>
      <c r="F225" s="5" t="s">
        <v>71</v>
      </c>
      <c r="G225" t="str">
        <f>_xlfn.XLOOKUP(tblSales[[#This Row],[Customer]],Lookup_Tables!$I$5:$I$34,Lookup_Tables!$J$5:$J$34)</f>
        <v>Government</v>
      </c>
      <c r="H225" t="str">
        <f>_xlfn.XLOOKUP(tblSales[[#This Row],[Product]],Lookup_Tables!$F$5:$F$23,Lookup_Tables!$E$5:$E$23,"")</f>
        <v>Furniture</v>
      </c>
      <c r="I225" t="s">
        <v>45</v>
      </c>
      <c r="J225" s="11">
        <v>9</v>
      </c>
      <c r="K225" s="1">
        <f>_xlfn.XLOOKUP(tblSales[[#This Row],[Product]],Lookup_Tables!$F$5:$F$23,Lookup_Tables!$G$5:$G$23,"")</f>
        <v>5200</v>
      </c>
      <c r="L225" s="12">
        <f>_xlfn.XLOOKUP(tblSales[[#This Row],[Customer Type]],Lookup_Tables!$B$19:$B$21,Lookup_Tables!$C$19:$C$21,0)</f>
        <v>0.15</v>
      </c>
      <c r="M225" t="s">
        <v>32</v>
      </c>
      <c r="N225" s="11" t="str">
        <f>"Q"&amp;ROUNDUP(MONTH(tblSales[[#This Row],[Date]])/3,0)</f>
        <v>Q4</v>
      </c>
      <c r="O225" s="11">
        <f>YEAR(tblSales[[#This Row],[Date]])</f>
        <v>2025</v>
      </c>
      <c r="P225" s="1">
        <f>tblSales[[#This Row],[Quantity]]*tblSales[[#This Row],[Unit Price]]</f>
        <v>46800</v>
      </c>
      <c r="Q225" s="1">
        <f>tblSales[[#This Row],[Gross Sales]]*tblSales[[#This Row],[Discount%]]</f>
        <v>7020</v>
      </c>
      <c r="R225" s="1">
        <f>tblSales[[#This Row],[Gross Sales]]-tblSales[[#This Row],[Discount Amount]]</f>
        <v>39780</v>
      </c>
    </row>
    <row r="226" spans="1:18" x14ac:dyDescent="0.35">
      <c r="A226" t="str">
        <f t="shared" si="3"/>
        <v>ORD-2026-0225</v>
      </c>
      <c r="B226" s="2">
        <v>46005</v>
      </c>
      <c r="C226" t="str">
        <f>TEXT(tblSales[[#This Row],[Date]],"mmmm")</f>
        <v>December</v>
      </c>
      <c r="D226" t="s">
        <v>21</v>
      </c>
      <c r="E226" t="str">
        <f>_xlfn.XLOOKUP(tblSales[[#This Row],[Saleperson]],Lookup_Tables!$B$5:$B$16,Lookup_Tables!$C$5:$C$16)</f>
        <v>South</v>
      </c>
      <c r="F226" t="s">
        <v>65</v>
      </c>
      <c r="G226" t="str">
        <f>_xlfn.XLOOKUP(tblSales[[#This Row],[Customer]],Lookup_Tables!$I$5:$I$34,Lookup_Tables!$J$5:$J$34)</f>
        <v>Retail</v>
      </c>
      <c r="H226" t="str">
        <f>_xlfn.XLOOKUP(tblSales[[#This Row],[Product]],Lookup_Tables!$F$5:$F$23,Lookup_Tables!$E$5:$E$23,"")</f>
        <v>Furniture</v>
      </c>
      <c r="I226" t="s">
        <v>46</v>
      </c>
      <c r="J226" s="11">
        <v>7</v>
      </c>
      <c r="K226" s="1">
        <f>_xlfn.XLOOKUP(tblSales[[#This Row],[Product]],Lookup_Tables!$F$5:$F$23,Lookup_Tables!$G$5:$G$23,"")</f>
        <v>3100</v>
      </c>
      <c r="L226" s="12">
        <f>_xlfn.XLOOKUP(tblSales[[#This Row],[Customer Type]],Lookup_Tables!$B$19:$B$21,Lookup_Tables!$C$19:$C$21,0)</f>
        <v>0</v>
      </c>
      <c r="M226" t="s">
        <v>32</v>
      </c>
      <c r="N226" s="11" t="str">
        <f>"Q"&amp;ROUNDUP(MONTH(tblSales[[#This Row],[Date]])/3,0)</f>
        <v>Q4</v>
      </c>
      <c r="O226" s="11">
        <f>YEAR(tblSales[[#This Row],[Date]])</f>
        <v>2025</v>
      </c>
      <c r="P226" s="1">
        <f>tblSales[[#This Row],[Quantity]]*tblSales[[#This Row],[Unit Price]]</f>
        <v>21700</v>
      </c>
      <c r="Q226" s="1">
        <f>tblSales[[#This Row],[Gross Sales]]*tblSales[[#This Row],[Discount%]]</f>
        <v>0</v>
      </c>
      <c r="R226" s="1">
        <f>tblSales[[#This Row],[Gross Sales]]-tblSales[[#This Row],[Discount Amount]]</f>
        <v>21700</v>
      </c>
    </row>
    <row r="227" spans="1:18" x14ac:dyDescent="0.35">
      <c r="A227" t="str">
        <f t="shared" si="3"/>
        <v>ORD-2026-0226</v>
      </c>
      <c r="B227" s="2">
        <v>46006</v>
      </c>
      <c r="C227" t="str">
        <f>TEXT(tblSales[[#This Row],[Date]],"mmmm")</f>
        <v>December</v>
      </c>
      <c r="D227" t="s">
        <v>28</v>
      </c>
      <c r="E227" t="str">
        <f>_xlfn.XLOOKUP(tblSales[[#This Row],[Saleperson]],Lookup_Tables!$B$5:$B$16,Lookup_Tables!$C$5:$C$16)</f>
        <v>South</v>
      </c>
      <c r="F227" s="5" t="s">
        <v>74</v>
      </c>
      <c r="G227" t="str">
        <f>_xlfn.XLOOKUP(tblSales[[#This Row],[Customer]],Lookup_Tables!$I$5:$I$34,Lookup_Tables!$J$5:$J$34)</f>
        <v>Retail</v>
      </c>
      <c r="H227" t="str">
        <f>_xlfn.XLOOKUP(tblSales[[#This Row],[Product]],Lookup_Tables!$F$5:$F$23,Lookup_Tables!$E$5:$E$23,"")</f>
        <v>Electronics</v>
      </c>
      <c r="I227" t="s">
        <v>41</v>
      </c>
      <c r="J227" s="11">
        <v>4</v>
      </c>
      <c r="K227" s="1">
        <f>_xlfn.XLOOKUP(tblSales[[#This Row],[Product]],Lookup_Tables!$F$5:$F$23,Lookup_Tables!$G$5:$G$23,"")</f>
        <v>720</v>
      </c>
      <c r="L227" s="12">
        <f>_xlfn.XLOOKUP(tblSales[[#This Row],[Customer Type]],Lookup_Tables!$B$19:$B$21,Lookup_Tables!$C$19:$C$21,0)</f>
        <v>0</v>
      </c>
      <c r="M227" t="s">
        <v>33</v>
      </c>
      <c r="N227" s="11" t="str">
        <f>"Q"&amp;ROUNDUP(MONTH(tblSales[[#This Row],[Date]])/3,0)</f>
        <v>Q4</v>
      </c>
      <c r="O227" s="11">
        <f>YEAR(tblSales[[#This Row],[Date]])</f>
        <v>2025</v>
      </c>
      <c r="P227" s="1">
        <f>tblSales[[#This Row],[Quantity]]*tblSales[[#This Row],[Unit Price]]</f>
        <v>2880</v>
      </c>
      <c r="Q227" s="1">
        <f>tblSales[[#This Row],[Gross Sales]]*tblSales[[#This Row],[Discount%]]</f>
        <v>0</v>
      </c>
      <c r="R227" s="1">
        <f>tblSales[[#This Row],[Gross Sales]]-tblSales[[#This Row],[Discount Amount]]</f>
        <v>2880</v>
      </c>
    </row>
    <row r="228" spans="1:18" x14ac:dyDescent="0.35">
      <c r="A228" t="str">
        <f t="shared" si="3"/>
        <v>ORD-2026-0227</v>
      </c>
      <c r="B228" s="2">
        <v>46007</v>
      </c>
      <c r="C228" t="str">
        <f>TEXT(tblSales[[#This Row],[Date]],"mmmm")</f>
        <v>December</v>
      </c>
      <c r="D228" t="s">
        <v>19</v>
      </c>
      <c r="E228" t="str">
        <f>_xlfn.XLOOKUP(tblSales[[#This Row],[Saleperson]],Lookup_Tables!$B$5:$B$16,Lookup_Tables!$C$5:$C$16)</f>
        <v>West</v>
      </c>
      <c r="F228" t="s">
        <v>63</v>
      </c>
      <c r="G228" t="str">
        <f>_xlfn.XLOOKUP(tblSales[[#This Row],[Customer]],Lookup_Tables!$I$5:$I$34,Lookup_Tables!$J$5:$J$34)</f>
        <v>Retail</v>
      </c>
      <c r="H228" t="str">
        <f>_xlfn.XLOOKUP(tblSales[[#This Row],[Product]],Lookup_Tables!$F$5:$F$23,Lookup_Tables!$E$5:$E$23,"")</f>
        <v>Electronics</v>
      </c>
      <c r="I228" t="s">
        <v>41</v>
      </c>
      <c r="J228" s="11">
        <v>3</v>
      </c>
      <c r="K228" s="1">
        <f>_xlfn.XLOOKUP(tblSales[[#This Row],[Product]],Lookup_Tables!$F$5:$F$23,Lookup_Tables!$G$5:$G$23,"")</f>
        <v>720</v>
      </c>
      <c r="L228" s="12">
        <f>_xlfn.XLOOKUP(tblSales[[#This Row],[Customer Type]],Lookup_Tables!$B$19:$B$21,Lookup_Tables!$C$19:$C$21,0)</f>
        <v>0</v>
      </c>
      <c r="M228" t="s">
        <v>35</v>
      </c>
      <c r="N228" s="11" t="str">
        <f>"Q"&amp;ROUNDUP(MONTH(tblSales[[#This Row],[Date]])/3,0)</f>
        <v>Q4</v>
      </c>
      <c r="O228" s="11">
        <f>YEAR(tblSales[[#This Row],[Date]])</f>
        <v>2025</v>
      </c>
      <c r="P228" s="1">
        <f>tblSales[[#This Row],[Quantity]]*tblSales[[#This Row],[Unit Price]]</f>
        <v>2160</v>
      </c>
      <c r="Q228" s="1">
        <f>tblSales[[#This Row],[Gross Sales]]*tblSales[[#This Row],[Discount%]]</f>
        <v>0</v>
      </c>
      <c r="R228" s="1">
        <f>tblSales[[#This Row],[Gross Sales]]-tblSales[[#This Row],[Discount Amount]]</f>
        <v>2160</v>
      </c>
    </row>
    <row r="229" spans="1:18" x14ac:dyDescent="0.35">
      <c r="A229" t="str">
        <f t="shared" si="3"/>
        <v>ORD-2026-0228</v>
      </c>
      <c r="B229" s="2">
        <v>46008</v>
      </c>
      <c r="C229" t="str">
        <f>TEXT(tblSales[[#This Row],[Date]],"mmmm")</f>
        <v>December</v>
      </c>
      <c r="D229" t="s">
        <v>26</v>
      </c>
      <c r="E229" t="str">
        <f>_xlfn.XLOOKUP(tblSales[[#This Row],[Saleperson]],Lookup_Tables!$B$5:$B$16,Lookup_Tables!$C$5:$C$16)</f>
        <v>North</v>
      </c>
      <c r="F229" s="5" t="s">
        <v>70</v>
      </c>
      <c r="G229" t="str">
        <f>_xlfn.XLOOKUP(tblSales[[#This Row],[Customer]],Lookup_Tables!$I$5:$I$34,Lookup_Tables!$J$5:$J$34)</f>
        <v>Retail</v>
      </c>
      <c r="H229" t="str">
        <f>_xlfn.XLOOKUP(tblSales[[#This Row],[Product]],Lookup_Tables!$F$5:$F$23,Lookup_Tables!$E$5:$E$23,"")</f>
        <v>Furniture</v>
      </c>
      <c r="I229" t="s">
        <v>47</v>
      </c>
      <c r="J229" s="11">
        <v>7</v>
      </c>
      <c r="K229" s="1">
        <f>_xlfn.XLOOKUP(tblSales[[#This Row],[Product]],Lookup_Tables!$F$5:$F$23,Lookup_Tables!$G$5:$G$23,"")</f>
        <v>7500</v>
      </c>
      <c r="L229" s="12">
        <f>_xlfn.XLOOKUP(tblSales[[#This Row],[Customer Type]],Lookup_Tables!$B$19:$B$21,Lookup_Tables!$C$19:$C$21,0)</f>
        <v>0</v>
      </c>
      <c r="M229" t="s">
        <v>35</v>
      </c>
      <c r="N229" s="11" t="str">
        <f>"Q"&amp;ROUNDUP(MONTH(tblSales[[#This Row],[Date]])/3,0)</f>
        <v>Q4</v>
      </c>
      <c r="O229" s="11">
        <f>YEAR(tblSales[[#This Row],[Date]])</f>
        <v>2025</v>
      </c>
      <c r="P229" s="1">
        <f>tblSales[[#This Row],[Quantity]]*tblSales[[#This Row],[Unit Price]]</f>
        <v>52500</v>
      </c>
      <c r="Q229" s="1">
        <f>tblSales[[#This Row],[Gross Sales]]*tblSales[[#This Row],[Discount%]]</f>
        <v>0</v>
      </c>
      <c r="R229" s="1">
        <f>tblSales[[#This Row],[Gross Sales]]-tblSales[[#This Row],[Discount Amount]]</f>
        <v>52500</v>
      </c>
    </row>
    <row r="230" spans="1:18" x14ac:dyDescent="0.35">
      <c r="A230" t="str">
        <f t="shared" si="3"/>
        <v>ORD-2026-0229</v>
      </c>
      <c r="B230" s="2">
        <v>46008</v>
      </c>
      <c r="C230" t="str">
        <f>TEXT(tblSales[[#This Row],[Date]],"mmmm")</f>
        <v>December</v>
      </c>
      <c r="D230" t="s">
        <v>25</v>
      </c>
      <c r="E230" t="str">
        <f>_xlfn.XLOOKUP(tblSales[[#This Row],[Saleperson]],Lookup_Tables!$B$5:$B$16,Lookup_Tables!$C$5:$C$16)</f>
        <v>West</v>
      </c>
      <c r="F230" s="5" t="s">
        <v>68</v>
      </c>
      <c r="G230" t="str">
        <f>_xlfn.XLOOKUP(tblSales[[#This Row],[Customer]],Lookup_Tables!$I$5:$I$34,Lookup_Tables!$J$5:$J$34)</f>
        <v>Government</v>
      </c>
      <c r="H230" t="str">
        <f>_xlfn.XLOOKUP(tblSales[[#This Row],[Product]],Lookup_Tables!$F$5:$F$23,Lookup_Tables!$E$5:$E$23,"")</f>
        <v>Furniture</v>
      </c>
      <c r="I230" t="s">
        <v>47</v>
      </c>
      <c r="J230" s="11">
        <v>8</v>
      </c>
      <c r="K230" s="1">
        <f>_xlfn.XLOOKUP(tblSales[[#This Row],[Product]],Lookup_Tables!$F$5:$F$23,Lookup_Tables!$G$5:$G$23,"")</f>
        <v>7500</v>
      </c>
      <c r="L230" s="12">
        <f>_xlfn.XLOOKUP(tblSales[[#This Row],[Customer Type]],Lookup_Tables!$B$19:$B$21,Lookup_Tables!$C$19:$C$21,0)</f>
        <v>0.15</v>
      </c>
      <c r="M230" t="s">
        <v>32</v>
      </c>
      <c r="N230" s="11" t="str">
        <f>"Q"&amp;ROUNDUP(MONTH(tblSales[[#This Row],[Date]])/3,0)</f>
        <v>Q4</v>
      </c>
      <c r="O230" s="11">
        <f>YEAR(tblSales[[#This Row],[Date]])</f>
        <v>2025</v>
      </c>
      <c r="P230" s="1">
        <f>tblSales[[#This Row],[Quantity]]*tblSales[[#This Row],[Unit Price]]</f>
        <v>60000</v>
      </c>
      <c r="Q230" s="1">
        <f>tblSales[[#This Row],[Gross Sales]]*tblSales[[#This Row],[Discount%]]</f>
        <v>9000</v>
      </c>
      <c r="R230" s="1">
        <f>tblSales[[#This Row],[Gross Sales]]-tblSales[[#This Row],[Discount Amount]]</f>
        <v>51000</v>
      </c>
    </row>
    <row r="231" spans="1:18" x14ac:dyDescent="0.35">
      <c r="A231" t="str">
        <f t="shared" si="3"/>
        <v>ORD-2026-0230</v>
      </c>
      <c r="B231" s="2">
        <v>46008</v>
      </c>
      <c r="C231" t="str">
        <f>TEXT(tblSales[[#This Row],[Date]],"mmmm")</f>
        <v>December</v>
      </c>
      <c r="D231" t="s">
        <v>18</v>
      </c>
      <c r="E231" t="str">
        <f>_xlfn.XLOOKUP(tblSales[[#This Row],[Saleperson]],Lookup_Tables!$B$5:$B$16,Lookup_Tables!$C$5:$C$16)</f>
        <v>South</v>
      </c>
      <c r="F231" s="5" t="s">
        <v>75</v>
      </c>
      <c r="G231" t="str">
        <f>_xlfn.XLOOKUP(tblSales[[#This Row],[Customer]],Lookup_Tables!$I$5:$I$34,Lookup_Tables!$J$5:$J$34)</f>
        <v>Corporate</v>
      </c>
      <c r="H231" t="str">
        <f>_xlfn.XLOOKUP(tblSales[[#This Row],[Product]],Lookup_Tables!$F$5:$F$23,Lookup_Tables!$E$5:$E$23,"")</f>
        <v>Electronics</v>
      </c>
      <c r="I231" t="s">
        <v>38</v>
      </c>
      <c r="J231" s="11">
        <v>4</v>
      </c>
      <c r="K231" s="1">
        <f>_xlfn.XLOOKUP(tblSales[[#This Row],[Product]],Lookup_Tables!$F$5:$F$23,Lookup_Tables!$G$5:$G$23,"")</f>
        <v>6000</v>
      </c>
      <c r="L231" s="12">
        <f>_xlfn.XLOOKUP(tblSales[[#This Row],[Customer Type]],Lookup_Tables!$B$19:$B$21,Lookup_Tables!$C$19:$C$21,0)</f>
        <v>0.1</v>
      </c>
      <c r="M231" t="s">
        <v>34</v>
      </c>
      <c r="N231" s="11" t="str">
        <f>"Q"&amp;ROUNDUP(MONTH(tblSales[[#This Row],[Date]])/3,0)</f>
        <v>Q4</v>
      </c>
      <c r="O231" s="11">
        <f>YEAR(tblSales[[#This Row],[Date]])</f>
        <v>2025</v>
      </c>
      <c r="P231" s="1">
        <f>tblSales[[#This Row],[Quantity]]*tblSales[[#This Row],[Unit Price]]</f>
        <v>24000</v>
      </c>
      <c r="Q231" s="1">
        <f>tblSales[[#This Row],[Gross Sales]]*tblSales[[#This Row],[Discount%]]</f>
        <v>2400</v>
      </c>
      <c r="R231" s="1">
        <f>tblSales[[#This Row],[Gross Sales]]-tblSales[[#This Row],[Discount Amount]]</f>
        <v>21600</v>
      </c>
    </row>
    <row r="232" spans="1:18" x14ac:dyDescent="0.35">
      <c r="A232" t="str">
        <f t="shared" si="3"/>
        <v>ORD-2026-0231</v>
      </c>
      <c r="B232" s="2">
        <v>46009</v>
      </c>
      <c r="C232" t="str">
        <f>TEXT(tblSales[[#This Row],[Date]],"mmmm")</f>
        <v>December</v>
      </c>
      <c r="D232" t="s">
        <v>23</v>
      </c>
      <c r="E232" t="str">
        <f>_xlfn.XLOOKUP(tblSales[[#This Row],[Saleperson]],Lookup_Tables!$B$5:$B$16,Lookup_Tables!$C$5:$C$16)</f>
        <v>West</v>
      </c>
      <c r="F232" s="5" t="s">
        <v>90</v>
      </c>
      <c r="G232" t="str">
        <f>_xlfn.XLOOKUP(tblSales[[#This Row],[Customer]],Lookup_Tables!$I$5:$I$34,Lookup_Tables!$J$5:$J$34)</f>
        <v>Corporate</v>
      </c>
      <c r="H232" t="str">
        <f>_xlfn.XLOOKUP(tblSales[[#This Row],[Product]],Lookup_Tables!$F$5:$F$23,Lookup_Tables!$E$5:$E$23,"")</f>
        <v>Office Supplies</v>
      </c>
      <c r="I232" t="s">
        <v>49</v>
      </c>
      <c r="J232" s="11">
        <v>4</v>
      </c>
      <c r="K232" s="1">
        <f>_xlfn.XLOOKUP(tblSales[[#This Row],[Product]],Lookup_Tables!$F$5:$F$23,Lookup_Tables!$G$5:$G$23,"")</f>
        <v>120</v>
      </c>
      <c r="L232" s="12">
        <f>_xlfn.XLOOKUP(tblSales[[#This Row],[Customer Type]],Lookup_Tables!$B$19:$B$21,Lookup_Tables!$C$19:$C$21,0)</f>
        <v>0.1</v>
      </c>
      <c r="M232" t="s">
        <v>34</v>
      </c>
      <c r="N232" s="11" t="str">
        <f>"Q"&amp;ROUNDUP(MONTH(tblSales[[#This Row],[Date]])/3,0)</f>
        <v>Q4</v>
      </c>
      <c r="O232" s="11">
        <f>YEAR(tblSales[[#This Row],[Date]])</f>
        <v>2025</v>
      </c>
      <c r="P232" s="1">
        <f>tblSales[[#This Row],[Quantity]]*tblSales[[#This Row],[Unit Price]]</f>
        <v>480</v>
      </c>
      <c r="Q232" s="1">
        <f>tblSales[[#This Row],[Gross Sales]]*tblSales[[#This Row],[Discount%]]</f>
        <v>48</v>
      </c>
      <c r="R232" s="1">
        <f>tblSales[[#This Row],[Gross Sales]]-tblSales[[#This Row],[Discount Amount]]</f>
        <v>432</v>
      </c>
    </row>
    <row r="233" spans="1:18" x14ac:dyDescent="0.35">
      <c r="A233" t="str">
        <f t="shared" si="3"/>
        <v>ORD-2026-0232</v>
      </c>
      <c r="B233" s="2">
        <v>46010</v>
      </c>
      <c r="C233" t="str">
        <f>TEXT(tblSales[[#This Row],[Date]],"mmmm")</f>
        <v>December</v>
      </c>
      <c r="D233" t="s">
        <v>22</v>
      </c>
      <c r="E233" t="str">
        <f>_xlfn.XLOOKUP(tblSales[[#This Row],[Saleperson]],Lookup_Tables!$B$5:$B$16,Lookup_Tables!$C$5:$C$16)</f>
        <v>North</v>
      </c>
      <c r="F233" t="s">
        <v>63</v>
      </c>
      <c r="G233" t="str">
        <f>_xlfn.XLOOKUP(tblSales[[#This Row],[Customer]],Lookup_Tables!$I$5:$I$34,Lookup_Tables!$J$5:$J$34)</f>
        <v>Retail</v>
      </c>
      <c r="H233" t="str">
        <f>_xlfn.XLOOKUP(tblSales[[#This Row],[Product]],Lookup_Tables!$F$5:$F$23,Lookup_Tables!$E$5:$E$23,"")</f>
        <v>Furniture</v>
      </c>
      <c r="I233" t="s">
        <v>46</v>
      </c>
      <c r="J233" s="11">
        <v>8</v>
      </c>
      <c r="K233" s="1">
        <f>_xlfn.XLOOKUP(tblSales[[#This Row],[Product]],Lookup_Tables!$F$5:$F$23,Lookup_Tables!$G$5:$G$23,"")</f>
        <v>3100</v>
      </c>
      <c r="L233" s="12">
        <f>_xlfn.XLOOKUP(tblSales[[#This Row],[Customer Type]],Lookup_Tables!$B$19:$B$21,Lookup_Tables!$C$19:$C$21,0)</f>
        <v>0</v>
      </c>
      <c r="M233" t="s">
        <v>32</v>
      </c>
      <c r="N233" s="11" t="str">
        <f>"Q"&amp;ROUNDUP(MONTH(tblSales[[#This Row],[Date]])/3,0)</f>
        <v>Q4</v>
      </c>
      <c r="O233" s="11">
        <f>YEAR(tblSales[[#This Row],[Date]])</f>
        <v>2025</v>
      </c>
      <c r="P233" s="1">
        <f>tblSales[[#This Row],[Quantity]]*tblSales[[#This Row],[Unit Price]]</f>
        <v>24800</v>
      </c>
      <c r="Q233" s="1">
        <f>tblSales[[#This Row],[Gross Sales]]*tblSales[[#This Row],[Discount%]]</f>
        <v>0</v>
      </c>
      <c r="R233" s="1">
        <f>tblSales[[#This Row],[Gross Sales]]-tblSales[[#This Row],[Discount Amount]]</f>
        <v>24800</v>
      </c>
    </row>
    <row r="234" spans="1:18" x14ac:dyDescent="0.35">
      <c r="A234" t="str">
        <f t="shared" si="3"/>
        <v>ORD-2026-0233</v>
      </c>
      <c r="B234" s="2">
        <v>46011</v>
      </c>
      <c r="C234" t="str">
        <f>TEXT(tblSales[[#This Row],[Date]],"mmmm")</f>
        <v>December</v>
      </c>
      <c r="D234" t="s">
        <v>27</v>
      </c>
      <c r="E234" t="str">
        <f>_xlfn.XLOOKUP(tblSales[[#This Row],[Saleperson]],Lookup_Tables!$B$5:$B$16,Lookup_Tables!$C$5:$C$16)</f>
        <v>East</v>
      </c>
      <c r="F234" s="5" t="s">
        <v>76</v>
      </c>
      <c r="G234" t="str">
        <f>_xlfn.XLOOKUP(tblSales[[#This Row],[Customer]],Lookup_Tables!$I$5:$I$34,Lookup_Tables!$J$5:$J$34)</f>
        <v>Retail</v>
      </c>
      <c r="H234" t="str">
        <f>_xlfn.XLOOKUP(tblSales[[#This Row],[Product]],Lookup_Tables!$F$5:$F$23,Lookup_Tables!$E$5:$E$23,"")</f>
        <v>Office Supplies</v>
      </c>
      <c r="I234" t="s">
        <v>53</v>
      </c>
      <c r="J234" s="11">
        <v>7</v>
      </c>
      <c r="K234" s="1">
        <f>_xlfn.XLOOKUP(tblSales[[#This Row],[Product]],Lookup_Tables!$F$5:$F$23,Lookup_Tables!$G$5:$G$23,"")</f>
        <v>32</v>
      </c>
      <c r="L234" s="12">
        <f>_xlfn.XLOOKUP(tblSales[[#This Row],[Customer Type]],Lookup_Tables!$B$19:$B$21,Lookup_Tables!$C$19:$C$21,0)</f>
        <v>0</v>
      </c>
      <c r="M234" t="s">
        <v>35</v>
      </c>
      <c r="N234" s="11" t="str">
        <f>"Q"&amp;ROUNDUP(MONTH(tblSales[[#This Row],[Date]])/3,0)</f>
        <v>Q4</v>
      </c>
      <c r="O234" s="11">
        <f>YEAR(tblSales[[#This Row],[Date]])</f>
        <v>2025</v>
      </c>
      <c r="P234" s="1">
        <f>tblSales[[#This Row],[Quantity]]*tblSales[[#This Row],[Unit Price]]</f>
        <v>224</v>
      </c>
      <c r="Q234" s="1">
        <f>tblSales[[#This Row],[Gross Sales]]*tblSales[[#This Row],[Discount%]]</f>
        <v>0</v>
      </c>
      <c r="R234" s="1">
        <f>tblSales[[#This Row],[Gross Sales]]-tblSales[[#This Row],[Discount Amount]]</f>
        <v>224</v>
      </c>
    </row>
    <row r="235" spans="1:18" x14ac:dyDescent="0.35">
      <c r="A235" t="str">
        <f t="shared" si="3"/>
        <v>ORD-2026-0234</v>
      </c>
      <c r="B235" s="2">
        <v>46011</v>
      </c>
      <c r="C235" t="str">
        <f>TEXT(tblSales[[#This Row],[Date]],"mmmm")</f>
        <v>December</v>
      </c>
      <c r="D235" t="s">
        <v>20</v>
      </c>
      <c r="E235" t="str">
        <f>_xlfn.XLOOKUP(tblSales[[#This Row],[Saleperson]],Lookup_Tables!$B$5:$B$16,Lookup_Tables!$C$5:$C$16)</f>
        <v>East</v>
      </c>
      <c r="F235" s="5" t="s">
        <v>69</v>
      </c>
      <c r="G235" t="str">
        <f>_xlfn.XLOOKUP(tblSales[[#This Row],[Customer]],Lookup_Tables!$I$5:$I$34,Lookup_Tables!$J$5:$J$34)</f>
        <v>Retail</v>
      </c>
      <c r="H235" t="str">
        <f>_xlfn.XLOOKUP(tblSales[[#This Row],[Product]],Lookup_Tables!$F$5:$F$23,Lookup_Tables!$E$5:$E$23,"")</f>
        <v>Office Supplies</v>
      </c>
      <c r="I235" t="s">
        <v>50</v>
      </c>
      <c r="J235" s="11">
        <v>9</v>
      </c>
      <c r="K235" s="1">
        <f>_xlfn.XLOOKUP(tblSales[[#This Row],[Product]],Lookup_Tables!$F$5:$F$23,Lookup_Tables!$G$5:$G$23,"")</f>
        <v>180</v>
      </c>
      <c r="L235" s="12">
        <f>_xlfn.XLOOKUP(tblSales[[#This Row],[Customer Type]],Lookup_Tables!$B$19:$B$21,Lookup_Tables!$C$19:$C$21,0)</f>
        <v>0</v>
      </c>
      <c r="M235" t="s">
        <v>34</v>
      </c>
      <c r="N235" s="11" t="str">
        <f>"Q"&amp;ROUNDUP(MONTH(tblSales[[#This Row],[Date]])/3,0)</f>
        <v>Q4</v>
      </c>
      <c r="O235" s="11">
        <f>YEAR(tblSales[[#This Row],[Date]])</f>
        <v>2025</v>
      </c>
      <c r="P235" s="1">
        <f>tblSales[[#This Row],[Quantity]]*tblSales[[#This Row],[Unit Price]]</f>
        <v>1620</v>
      </c>
      <c r="Q235" s="1">
        <f>tblSales[[#This Row],[Gross Sales]]*tblSales[[#This Row],[Discount%]]</f>
        <v>0</v>
      </c>
      <c r="R235" s="1">
        <f>tblSales[[#This Row],[Gross Sales]]-tblSales[[#This Row],[Discount Amount]]</f>
        <v>1620</v>
      </c>
    </row>
    <row r="236" spans="1:18" x14ac:dyDescent="0.35">
      <c r="A236" t="str">
        <f t="shared" si="3"/>
        <v>ORD-2026-0235</v>
      </c>
      <c r="B236" s="2">
        <v>46011</v>
      </c>
      <c r="C236" t="str">
        <f>TEXT(tblSales[[#This Row],[Date]],"mmmm")</f>
        <v>December</v>
      </c>
      <c r="D236" t="s">
        <v>28</v>
      </c>
      <c r="E236" t="str">
        <f>_xlfn.XLOOKUP(tblSales[[#This Row],[Saleperson]],Lookup_Tables!$B$5:$B$16,Lookup_Tables!$C$5:$C$16)</f>
        <v>South</v>
      </c>
      <c r="F236" s="5" t="s">
        <v>80</v>
      </c>
      <c r="G236" t="str">
        <f>_xlfn.XLOOKUP(tblSales[[#This Row],[Customer]],Lookup_Tables!$I$5:$I$34,Lookup_Tables!$J$5:$J$34)</f>
        <v>Retail</v>
      </c>
      <c r="H236" t="str">
        <f>_xlfn.XLOOKUP(tblSales[[#This Row],[Product]],Lookup_Tables!$F$5:$F$23,Lookup_Tables!$E$5:$E$23,"")</f>
        <v>Office Supplies</v>
      </c>
      <c r="I236" t="s">
        <v>53</v>
      </c>
      <c r="J236" s="11">
        <v>4</v>
      </c>
      <c r="K236" s="1">
        <f>_xlfn.XLOOKUP(tblSales[[#This Row],[Product]],Lookup_Tables!$F$5:$F$23,Lookup_Tables!$G$5:$G$23,"")</f>
        <v>32</v>
      </c>
      <c r="L236" s="12">
        <f>_xlfn.XLOOKUP(tblSales[[#This Row],[Customer Type]],Lookup_Tables!$B$19:$B$21,Lookup_Tables!$C$19:$C$21,0)</f>
        <v>0</v>
      </c>
      <c r="M236" t="s">
        <v>35</v>
      </c>
      <c r="N236" s="11" t="str">
        <f>"Q"&amp;ROUNDUP(MONTH(tblSales[[#This Row],[Date]])/3,0)</f>
        <v>Q4</v>
      </c>
      <c r="O236" s="11">
        <f>YEAR(tblSales[[#This Row],[Date]])</f>
        <v>2025</v>
      </c>
      <c r="P236" s="1">
        <f>tblSales[[#This Row],[Quantity]]*tblSales[[#This Row],[Unit Price]]</f>
        <v>128</v>
      </c>
      <c r="Q236" s="1">
        <f>tblSales[[#This Row],[Gross Sales]]*tblSales[[#This Row],[Discount%]]</f>
        <v>0</v>
      </c>
      <c r="R236" s="1">
        <f>tblSales[[#This Row],[Gross Sales]]-tblSales[[#This Row],[Discount Amount]]</f>
        <v>128</v>
      </c>
    </row>
    <row r="237" spans="1:18" x14ac:dyDescent="0.35">
      <c r="A237" t="str">
        <f t="shared" si="3"/>
        <v>ORD-2026-0236</v>
      </c>
      <c r="B237" s="2">
        <v>46012</v>
      </c>
      <c r="C237" t="str">
        <f>TEXT(tblSales[[#This Row],[Date]],"mmmm")</f>
        <v>December</v>
      </c>
      <c r="D237" t="s">
        <v>28</v>
      </c>
      <c r="E237" t="str">
        <f>_xlfn.XLOOKUP(tblSales[[#This Row],[Saleperson]],Lookup_Tables!$B$5:$B$16,Lookup_Tables!$C$5:$C$16)</f>
        <v>South</v>
      </c>
      <c r="F237" s="5" t="s">
        <v>70</v>
      </c>
      <c r="G237" t="str">
        <f>_xlfn.XLOOKUP(tblSales[[#This Row],[Customer]],Lookup_Tables!$I$5:$I$34,Lookup_Tables!$J$5:$J$34)</f>
        <v>Retail</v>
      </c>
      <c r="H237" t="str">
        <f>_xlfn.XLOOKUP(tblSales[[#This Row],[Product]],Lookup_Tables!$F$5:$F$23,Lookup_Tables!$E$5:$E$23,"")</f>
        <v>Office Supplies</v>
      </c>
      <c r="I237" t="s">
        <v>50</v>
      </c>
      <c r="J237" s="11">
        <v>4</v>
      </c>
      <c r="K237" s="1">
        <f>_xlfn.XLOOKUP(tblSales[[#This Row],[Product]],Lookup_Tables!$F$5:$F$23,Lookup_Tables!$G$5:$G$23,"")</f>
        <v>180</v>
      </c>
      <c r="L237" s="12">
        <f>_xlfn.XLOOKUP(tblSales[[#This Row],[Customer Type]],Lookup_Tables!$B$19:$B$21,Lookup_Tables!$C$19:$C$21,0)</f>
        <v>0</v>
      </c>
      <c r="M237" t="s">
        <v>35</v>
      </c>
      <c r="N237" s="11" t="str">
        <f>"Q"&amp;ROUNDUP(MONTH(tblSales[[#This Row],[Date]])/3,0)</f>
        <v>Q4</v>
      </c>
      <c r="O237" s="11">
        <f>YEAR(tblSales[[#This Row],[Date]])</f>
        <v>2025</v>
      </c>
      <c r="P237" s="1">
        <f>tblSales[[#This Row],[Quantity]]*tblSales[[#This Row],[Unit Price]]</f>
        <v>720</v>
      </c>
      <c r="Q237" s="1">
        <f>tblSales[[#This Row],[Gross Sales]]*tblSales[[#This Row],[Discount%]]</f>
        <v>0</v>
      </c>
      <c r="R237" s="1">
        <f>tblSales[[#This Row],[Gross Sales]]-tblSales[[#This Row],[Discount Amount]]</f>
        <v>720</v>
      </c>
    </row>
    <row r="238" spans="1:18" x14ac:dyDescent="0.35">
      <c r="A238" t="str">
        <f t="shared" si="3"/>
        <v>ORD-2026-0237</v>
      </c>
      <c r="B238" s="2">
        <v>46014</v>
      </c>
      <c r="C238" t="str">
        <f>TEXT(tblSales[[#This Row],[Date]],"mmmm")</f>
        <v>December</v>
      </c>
      <c r="D238" t="s">
        <v>24</v>
      </c>
      <c r="E238" t="str">
        <f>_xlfn.XLOOKUP(tblSales[[#This Row],[Saleperson]],Lookup_Tables!$B$5:$B$16,Lookup_Tables!$C$5:$C$16)</f>
        <v>South</v>
      </c>
      <c r="F238" t="s">
        <v>63</v>
      </c>
      <c r="G238" t="str">
        <f>_xlfn.XLOOKUP(tblSales[[#This Row],[Customer]],Lookup_Tables!$I$5:$I$34,Lookup_Tables!$J$5:$J$34)</f>
        <v>Retail</v>
      </c>
      <c r="H238" t="str">
        <f>_xlfn.XLOOKUP(tblSales[[#This Row],[Product]],Lookup_Tables!$F$5:$F$23,Lookup_Tables!$E$5:$E$23,"")</f>
        <v>Office Supplies</v>
      </c>
      <c r="I238" t="s">
        <v>57</v>
      </c>
      <c r="J238" s="11">
        <v>1</v>
      </c>
      <c r="K238" s="1">
        <f>_xlfn.XLOOKUP(tblSales[[#This Row],[Product]],Lookup_Tables!$F$5:$F$23,Lookup_Tables!$G$5:$G$23,"")</f>
        <v>5000</v>
      </c>
      <c r="L238" s="12">
        <f>_xlfn.XLOOKUP(tblSales[[#This Row],[Customer Type]],Lookup_Tables!$B$19:$B$21,Lookup_Tables!$C$19:$C$21,0)</f>
        <v>0</v>
      </c>
      <c r="M238" t="s">
        <v>33</v>
      </c>
      <c r="N238" s="11" t="str">
        <f>"Q"&amp;ROUNDUP(MONTH(tblSales[[#This Row],[Date]])/3,0)</f>
        <v>Q4</v>
      </c>
      <c r="O238" s="11">
        <f>YEAR(tblSales[[#This Row],[Date]])</f>
        <v>2025</v>
      </c>
      <c r="P238" s="1">
        <f>tblSales[[#This Row],[Quantity]]*tblSales[[#This Row],[Unit Price]]</f>
        <v>5000</v>
      </c>
      <c r="Q238" s="1">
        <f>tblSales[[#This Row],[Gross Sales]]*tblSales[[#This Row],[Discount%]]</f>
        <v>0</v>
      </c>
      <c r="R238" s="1">
        <f>tblSales[[#This Row],[Gross Sales]]-tblSales[[#This Row],[Discount Amount]]</f>
        <v>5000</v>
      </c>
    </row>
    <row r="239" spans="1:18" x14ac:dyDescent="0.35">
      <c r="A239" t="str">
        <f t="shared" si="3"/>
        <v>ORD-2026-0238</v>
      </c>
      <c r="B239" s="2">
        <v>46017</v>
      </c>
      <c r="C239" t="str">
        <f>TEXT(tblSales[[#This Row],[Date]],"mmmm")</f>
        <v>December</v>
      </c>
      <c r="D239" t="s">
        <v>28</v>
      </c>
      <c r="E239" t="str">
        <f>_xlfn.XLOOKUP(tblSales[[#This Row],[Saleperson]],Lookup_Tables!$B$5:$B$16,Lookup_Tables!$C$5:$C$16)</f>
        <v>South</v>
      </c>
      <c r="F239" s="5" t="s">
        <v>71</v>
      </c>
      <c r="G239" t="str">
        <f>_xlfn.XLOOKUP(tblSales[[#This Row],[Customer]],Lookup_Tables!$I$5:$I$34,Lookup_Tables!$J$5:$J$34)</f>
        <v>Government</v>
      </c>
      <c r="H239" t="str">
        <f>_xlfn.XLOOKUP(tblSales[[#This Row],[Product]],Lookup_Tables!$F$5:$F$23,Lookup_Tables!$E$5:$E$23,"")</f>
        <v>Office Supplies</v>
      </c>
      <c r="I239" t="s">
        <v>49</v>
      </c>
      <c r="J239" s="11">
        <v>8</v>
      </c>
      <c r="K239" s="1">
        <f>_xlfn.XLOOKUP(tblSales[[#This Row],[Product]],Lookup_Tables!$F$5:$F$23,Lookup_Tables!$G$5:$G$23,"")</f>
        <v>120</v>
      </c>
      <c r="L239" s="12">
        <f>_xlfn.XLOOKUP(tblSales[[#This Row],[Customer Type]],Lookup_Tables!$B$19:$B$21,Lookup_Tables!$C$19:$C$21,0)</f>
        <v>0.15</v>
      </c>
      <c r="M239" t="s">
        <v>32</v>
      </c>
      <c r="N239" s="11" t="str">
        <f>"Q"&amp;ROUNDUP(MONTH(tblSales[[#This Row],[Date]])/3,0)</f>
        <v>Q4</v>
      </c>
      <c r="O239" s="11">
        <f>YEAR(tblSales[[#This Row],[Date]])</f>
        <v>2025</v>
      </c>
      <c r="P239" s="1">
        <f>tblSales[[#This Row],[Quantity]]*tblSales[[#This Row],[Unit Price]]</f>
        <v>960</v>
      </c>
      <c r="Q239" s="1">
        <f>tblSales[[#This Row],[Gross Sales]]*tblSales[[#This Row],[Discount%]]</f>
        <v>144</v>
      </c>
      <c r="R239" s="1">
        <f>tblSales[[#This Row],[Gross Sales]]-tblSales[[#This Row],[Discount Amount]]</f>
        <v>816</v>
      </c>
    </row>
    <row r="240" spans="1:18" x14ac:dyDescent="0.35">
      <c r="A240" t="str">
        <f t="shared" si="3"/>
        <v>ORD-2026-0239</v>
      </c>
      <c r="B240" s="2">
        <v>46017</v>
      </c>
      <c r="C240" t="str">
        <f>TEXT(tblSales[[#This Row],[Date]],"mmmm")</f>
        <v>December</v>
      </c>
      <c r="D240" t="s">
        <v>19</v>
      </c>
      <c r="E240" t="str">
        <f>_xlfn.XLOOKUP(tblSales[[#This Row],[Saleperson]],Lookup_Tables!$B$5:$B$16,Lookup_Tables!$C$5:$C$16)</f>
        <v>West</v>
      </c>
      <c r="F240" s="5" t="s">
        <v>67</v>
      </c>
      <c r="G240" t="str">
        <f>_xlfn.XLOOKUP(tblSales[[#This Row],[Customer]],Lookup_Tables!$I$5:$I$34,Lookup_Tables!$J$5:$J$34)</f>
        <v>Government</v>
      </c>
      <c r="H240" t="str">
        <f>_xlfn.XLOOKUP(tblSales[[#This Row],[Product]],Lookup_Tables!$F$5:$F$23,Lookup_Tables!$E$5:$E$23,"")</f>
        <v>Office Supplies</v>
      </c>
      <c r="I240" t="s">
        <v>49</v>
      </c>
      <c r="J240" s="11">
        <v>10</v>
      </c>
      <c r="K240" s="1">
        <f>_xlfn.XLOOKUP(tblSales[[#This Row],[Product]],Lookup_Tables!$F$5:$F$23,Lookup_Tables!$G$5:$G$23,"")</f>
        <v>120</v>
      </c>
      <c r="L240" s="12">
        <f>_xlfn.XLOOKUP(tblSales[[#This Row],[Customer Type]],Lookup_Tables!$B$19:$B$21,Lookup_Tables!$C$19:$C$21,0)</f>
        <v>0.15</v>
      </c>
      <c r="M240" t="s">
        <v>35</v>
      </c>
      <c r="N240" s="11" t="str">
        <f>"Q"&amp;ROUNDUP(MONTH(tblSales[[#This Row],[Date]])/3,0)</f>
        <v>Q4</v>
      </c>
      <c r="O240" s="11">
        <f>YEAR(tblSales[[#This Row],[Date]])</f>
        <v>2025</v>
      </c>
      <c r="P240" s="1">
        <f>tblSales[[#This Row],[Quantity]]*tblSales[[#This Row],[Unit Price]]</f>
        <v>1200</v>
      </c>
      <c r="Q240" s="1">
        <f>tblSales[[#This Row],[Gross Sales]]*tblSales[[#This Row],[Discount%]]</f>
        <v>180</v>
      </c>
      <c r="R240" s="1">
        <f>tblSales[[#This Row],[Gross Sales]]-tblSales[[#This Row],[Discount Amount]]</f>
        <v>1020</v>
      </c>
    </row>
    <row r="241" spans="1:18" x14ac:dyDescent="0.35">
      <c r="A241" t="str">
        <f t="shared" si="3"/>
        <v>ORD-2026-0240</v>
      </c>
      <c r="B241" s="2">
        <v>46018</v>
      </c>
      <c r="C241" t="str">
        <f>TEXT(tblSales[[#This Row],[Date]],"mmmm")</f>
        <v>December</v>
      </c>
      <c r="D241" t="s">
        <v>28</v>
      </c>
      <c r="E241" t="str">
        <f>_xlfn.XLOOKUP(tblSales[[#This Row],[Saleperson]],Lookup_Tables!$B$5:$B$16,Lookup_Tables!$C$5:$C$16)</f>
        <v>South</v>
      </c>
      <c r="F241" s="5" t="s">
        <v>68</v>
      </c>
      <c r="G241" t="str">
        <f>_xlfn.XLOOKUP(tblSales[[#This Row],[Customer]],Lookup_Tables!$I$5:$I$34,Lookup_Tables!$J$5:$J$34)</f>
        <v>Government</v>
      </c>
      <c r="H241" t="str">
        <f>_xlfn.XLOOKUP(tblSales[[#This Row],[Product]],Lookup_Tables!$F$5:$F$23,Lookup_Tables!$E$5:$E$23,"")</f>
        <v>Office Supplies</v>
      </c>
      <c r="I241" t="s">
        <v>53</v>
      </c>
      <c r="J241" s="11">
        <v>9</v>
      </c>
      <c r="K241" s="1">
        <f>_xlfn.XLOOKUP(tblSales[[#This Row],[Product]],Lookup_Tables!$F$5:$F$23,Lookup_Tables!$G$5:$G$23,"")</f>
        <v>32</v>
      </c>
      <c r="L241" s="12">
        <f>_xlfn.XLOOKUP(tblSales[[#This Row],[Customer Type]],Lookup_Tables!$B$19:$B$21,Lookup_Tables!$C$19:$C$21,0)</f>
        <v>0.15</v>
      </c>
      <c r="M241" t="s">
        <v>35</v>
      </c>
      <c r="N241" s="11" t="str">
        <f>"Q"&amp;ROUNDUP(MONTH(tblSales[[#This Row],[Date]])/3,0)</f>
        <v>Q4</v>
      </c>
      <c r="O241" s="11">
        <f>YEAR(tblSales[[#This Row],[Date]])</f>
        <v>2025</v>
      </c>
      <c r="P241" s="1">
        <f>tblSales[[#This Row],[Quantity]]*tblSales[[#This Row],[Unit Price]]</f>
        <v>288</v>
      </c>
      <c r="Q241" s="1">
        <f>tblSales[[#This Row],[Gross Sales]]*tblSales[[#This Row],[Discount%]]</f>
        <v>43.199999999999996</v>
      </c>
      <c r="R241" s="1">
        <f>tblSales[[#This Row],[Gross Sales]]-tblSales[[#This Row],[Discount Amount]]</f>
        <v>244.8</v>
      </c>
    </row>
    <row r="242" spans="1:18" x14ac:dyDescent="0.35">
      <c r="A242" t="str">
        <f t="shared" si="3"/>
        <v>ORD-2026-0241</v>
      </c>
      <c r="B242" s="2">
        <v>46020</v>
      </c>
      <c r="C242" t="str">
        <f>TEXT(tblSales[[#This Row],[Date]],"mmmm")</f>
        <v>December</v>
      </c>
      <c r="D242" t="s">
        <v>27</v>
      </c>
      <c r="E242" t="str">
        <f>_xlfn.XLOOKUP(tblSales[[#This Row],[Saleperson]],Lookup_Tables!$B$5:$B$16,Lookup_Tables!$C$5:$C$16)</f>
        <v>East</v>
      </c>
      <c r="F242" s="5" t="s">
        <v>74</v>
      </c>
      <c r="G242" t="str">
        <f>_xlfn.XLOOKUP(tblSales[[#This Row],[Customer]],Lookup_Tables!$I$5:$I$34,Lookup_Tables!$J$5:$J$34)</f>
        <v>Retail</v>
      </c>
      <c r="H242" t="str">
        <f>_xlfn.XLOOKUP(tblSales[[#This Row],[Product]],Lookup_Tables!$F$5:$F$23,Lookup_Tables!$E$5:$E$23,"")</f>
        <v>Office Supplies</v>
      </c>
      <c r="I242" t="s">
        <v>51</v>
      </c>
      <c r="J242" s="11">
        <v>9</v>
      </c>
      <c r="K242" s="1">
        <f>_xlfn.XLOOKUP(tblSales[[#This Row],[Product]],Lookup_Tables!$F$5:$F$23,Lookup_Tables!$G$5:$G$23,"")</f>
        <v>90</v>
      </c>
      <c r="L242" s="6">
        <f>_xlfn.XLOOKUP(tblSales[[#This Row],[Customer Type]],Lookup_Tables!$B$19:$B$21,Lookup_Tables!$C$19:$C$21,0)</f>
        <v>0</v>
      </c>
      <c r="M242" t="s">
        <v>33</v>
      </c>
      <c r="N242" s="11" t="str">
        <f>"Q"&amp;ROUNDUP(MONTH(tblSales[[#This Row],[Date]])/3,0)</f>
        <v>Q4</v>
      </c>
      <c r="O242" s="11">
        <f>YEAR(tblSales[[#This Row],[Date]])</f>
        <v>2025</v>
      </c>
      <c r="P242" s="1">
        <f>tblSales[[#This Row],[Quantity]]*tblSales[[#This Row],[Unit Price]]</f>
        <v>810</v>
      </c>
      <c r="Q242" s="1">
        <f>tblSales[[#This Row],[Gross Sales]]*tblSales[[#This Row],[Discount%]]</f>
        <v>0</v>
      </c>
      <c r="R242" s="1">
        <f>tblSales[[#This Row],[Gross Sales]]-tblSales[[#This Row],[Discount Amount]]</f>
        <v>810</v>
      </c>
    </row>
    <row r="243" spans="1:18" x14ac:dyDescent="0.35">
      <c r="A243" t="str">
        <f t="shared" si="3"/>
        <v>ORD-2026-0242</v>
      </c>
      <c r="B243" s="2">
        <v>46024</v>
      </c>
      <c r="C243" t="str">
        <f>TEXT(tblSales[[#This Row],[Date]],"mmmm")</f>
        <v>January</v>
      </c>
      <c r="D243" t="s">
        <v>26</v>
      </c>
      <c r="E243" t="str">
        <f>_xlfn.XLOOKUP(tblSales[[#This Row],[Saleperson]],Lookup_Tables!$B$5:$B$16,Lookup_Tables!$C$5:$C$16)</f>
        <v>North</v>
      </c>
      <c r="F243" s="5" t="s">
        <v>72</v>
      </c>
      <c r="G243" t="str">
        <f>_xlfn.XLOOKUP(tblSales[[#This Row],[Customer]],Lookup_Tables!$I$5:$I$34,Lookup_Tables!$J$5:$J$34)</f>
        <v>Retail</v>
      </c>
      <c r="H243" t="str">
        <f>_xlfn.XLOOKUP(tblSales[[#This Row],[Product]],Lookup_Tables!$F$5:$F$23,Lookup_Tables!$E$5:$E$23,"")</f>
        <v>Furniture</v>
      </c>
      <c r="I243" t="s">
        <v>47</v>
      </c>
      <c r="J243" s="11">
        <v>7</v>
      </c>
      <c r="K243" s="1">
        <f>_xlfn.XLOOKUP(tblSales[[#This Row],[Product]],Lookup_Tables!$F$5:$F$23,Lookup_Tables!$G$5:$G$23,"")</f>
        <v>7500</v>
      </c>
      <c r="L243" s="12">
        <f>_xlfn.XLOOKUP(tblSales[[#This Row],[Customer Type]],Lookup_Tables!$B$19:$B$21,Lookup_Tables!$C$19:$C$21,0)</f>
        <v>0</v>
      </c>
      <c r="M243" t="s">
        <v>32</v>
      </c>
      <c r="N243" s="11" t="str">
        <f>"Q"&amp;ROUNDUP(MONTH(tblSales[[#This Row],[Date]])/3,0)</f>
        <v>Q1</v>
      </c>
      <c r="O243" s="11">
        <f>YEAR(tblSales[[#This Row],[Date]])</f>
        <v>2026</v>
      </c>
      <c r="P243" s="1">
        <f>tblSales[[#This Row],[Quantity]]*tblSales[[#This Row],[Unit Price]]</f>
        <v>52500</v>
      </c>
      <c r="Q243" s="1">
        <f>tblSales[[#This Row],[Gross Sales]]*tblSales[[#This Row],[Discount%]]</f>
        <v>0</v>
      </c>
      <c r="R243" s="1">
        <f>tblSales[[#This Row],[Gross Sales]]-tblSales[[#This Row],[Discount Amount]]</f>
        <v>52500</v>
      </c>
    </row>
    <row r="244" spans="1:18" x14ac:dyDescent="0.35">
      <c r="A244" t="str">
        <f t="shared" si="3"/>
        <v>ORD-2026-0243</v>
      </c>
      <c r="B244" s="2">
        <v>46025</v>
      </c>
      <c r="C244" t="str">
        <f>TEXT(tblSales[[#This Row],[Date]],"mmmm")</f>
        <v>January</v>
      </c>
      <c r="D244" t="s">
        <v>21</v>
      </c>
      <c r="E244" t="str">
        <f>_xlfn.XLOOKUP(tblSales[[#This Row],[Saleperson]],Lookup_Tables!$B$5:$B$16,Lookup_Tables!$C$5:$C$16)</f>
        <v>South</v>
      </c>
      <c r="F244" t="s">
        <v>63</v>
      </c>
      <c r="G244" t="str">
        <f>_xlfn.XLOOKUP(tblSales[[#This Row],[Customer]],Lookup_Tables!$I$5:$I$34,Lookup_Tables!$J$5:$J$34)</f>
        <v>Retail</v>
      </c>
      <c r="H244" t="str">
        <f>_xlfn.XLOOKUP(tblSales[[#This Row],[Product]],Lookup_Tables!$F$5:$F$23,Lookup_Tables!$E$5:$E$23,"")</f>
        <v>Electronics</v>
      </c>
      <c r="I244" t="s">
        <v>40</v>
      </c>
      <c r="J244" s="11">
        <v>8</v>
      </c>
      <c r="K244" s="1">
        <f>_xlfn.XLOOKUP(tblSales[[#This Row],[Product]],Lookup_Tables!$F$5:$F$23,Lookup_Tables!$G$5:$G$23,"")</f>
        <v>850</v>
      </c>
      <c r="L244" s="12">
        <f>_xlfn.XLOOKUP(tblSales[[#This Row],[Customer Type]],Lookup_Tables!$B$19:$B$21,Lookup_Tables!$C$19:$C$21,0)</f>
        <v>0</v>
      </c>
      <c r="M244" t="s">
        <v>32</v>
      </c>
      <c r="N244" s="11" t="str">
        <f>"Q"&amp;ROUNDUP(MONTH(tblSales[[#This Row],[Date]])/3,0)</f>
        <v>Q1</v>
      </c>
      <c r="O244" s="11">
        <f>YEAR(tblSales[[#This Row],[Date]])</f>
        <v>2026</v>
      </c>
      <c r="P244" s="1">
        <f>tblSales[[#This Row],[Quantity]]*tblSales[[#This Row],[Unit Price]]</f>
        <v>6800</v>
      </c>
      <c r="Q244" s="1">
        <f>tblSales[[#This Row],[Gross Sales]]*tblSales[[#This Row],[Discount%]]</f>
        <v>0</v>
      </c>
      <c r="R244" s="1">
        <f>tblSales[[#This Row],[Gross Sales]]-tblSales[[#This Row],[Discount Amount]]</f>
        <v>6800</v>
      </c>
    </row>
    <row r="245" spans="1:18" x14ac:dyDescent="0.35">
      <c r="A245" t="str">
        <f t="shared" si="3"/>
        <v>ORD-2026-0244</v>
      </c>
      <c r="B245" s="2">
        <v>46026</v>
      </c>
      <c r="C245" t="str">
        <f>TEXT(tblSales[[#This Row],[Date]],"mmmm")</f>
        <v>January</v>
      </c>
      <c r="D245" t="s">
        <v>20</v>
      </c>
      <c r="E245" t="str">
        <f>_xlfn.XLOOKUP(tblSales[[#This Row],[Saleperson]],Lookup_Tables!$B$5:$B$16,Lookup_Tables!$C$5:$C$16)</f>
        <v>East</v>
      </c>
      <c r="F245" t="s">
        <v>65</v>
      </c>
      <c r="G245" t="str">
        <f>_xlfn.XLOOKUP(tblSales[[#This Row],[Customer]],Lookup_Tables!$I$5:$I$34,Lookup_Tables!$J$5:$J$34)</f>
        <v>Retail</v>
      </c>
      <c r="H245" t="str">
        <f>_xlfn.XLOOKUP(tblSales[[#This Row],[Product]],Lookup_Tables!$F$5:$F$23,Lookup_Tables!$E$5:$E$23,"")</f>
        <v>Furniture</v>
      </c>
      <c r="I245" t="s">
        <v>45</v>
      </c>
      <c r="J245" s="11">
        <v>9</v>
      </c>
      <c r="K245" s="1">
        <f>_xlfn.XLOOKUP(tblSales[[#This Row],[Product]],Lookup_Tables!$F$5:$F$23,Lookup_Tables!$G$5:$G$23,"")</f>
        <v>5200</v>
      </c>
      <c r="L245" s="12">
        <f>_xlfn.XLOOKUP(tblSales[[#This Row],[Customer Type]],Lookup_Tables!$B$19:$B$21,Lookup_Tables!$C$19:$C$21,0)</f>
        <v>0</v>
      </c>
      <c r="M245" t="s">
        <v>34</v>
      </c>
      <c r="N245" s="11" t="str">
        <f>"Q"&amp;ROUNDUP(MONTH(tblSales[[#This Row],[Date]])/3,0)</f>
        <v>Q1</v>
      </c>
      <c r="O245" s="11">
        <f>YEAR(tblSales[[#This Row],[Date]])</f>
        <v>2026</v>
      </c>
      <c r="P245" s="1">
        <f>tblSales[[#This Row],[Quantity]]*tblSales[[#This Row],[Unit Price]]</f>
        <v>46800</v>
      </c>
      <c r="Q245" s="1">
        <f>tblSales[[#This Row],[Gross Sales]]*tblSales[[#This Row],[Discount%]]</f>
        <v>0</v>
      </c>
      <c r="R245" s="1">
        <f>tblSales[[#This Row],[Gross Sales]]-tblSales[[#This Row],[Discount Amount]]</f>
        <v>46800</v>
      </c>
    </row>
    <row r="246" spans="1:18" x14ac:dyDescent="0.35">
      <c r="A246" t="str">
        <f t="shared" si="3"/>
        <v>ORD-2026-0245</v>
      </c>
      <c r="B246" s="2">
        <v>46027</v>
      </c>
      <c r="C246" t="str">
        <f>TEXT(tblSales[[#This Row],[Date]],"mmmm")</f>
        <v>January</v>
      </c>
      <c r="D246" t="s">
        <v>21</v>
      </c>
      <c r="E246" t="str">
        <f>_xlfn.XLOOKUP(tblSales[[#This Row],[Saleperson]],Lookup_Tables!$B$5:$B$16,Lookup_Tables!$C$5:$C$16)</f>
        <v>South</v>
      </c>
      <c r="F246" s="5" t="s">
        <v>76</v>
      </c>
      <c r="G246" t="str">
        <f>_xlfn.XLOOKUP(tblSales[[#This Row],[Customer]],Lookup_Tables!$I$5:$I$34,Lookup_Tables!$J$5:$J$34)</f>
        <v>Retail</v>
      </c>
      <c r="H246" t="str">
        <f>_xlfn.XLOOKUP(tblSales[[#This Row],[Product]],Lookup_Tables!$F$5:$F$23,Lookup_Tables!$E$5:$E$23,"")</f>
        <v>Office Supplies</v>
      </c>
      <c r="I246" t="s">
        <v>49</v>
      </c>
      <c r="J246" s="11">
        <v>8</v>
      </c>
      <c r="K246" s="1">
        <f>_xlfn.XLOOKUP(tblSales[[#This Row],[Product]],Lookup_Tables!$F$5:$F$23,Lookup_Tables!$G$5:$G$23,"")</f>
        <v>120</v>
      </c>
      <c r="L246" s="12">
        <f>_xlfn.XLOOKUP(tblSales[[#This Row],[Customer Type]],Lookup_Tables!$B$19:$B$21,Lookup_Tables!$C$19:$C$21,0)</f>
        <v>0</v>
      </c>
      <c r="M246" t="s">
        <v>33</v>
      </c>
      <c r="N246" s="11" t="str">
        <f>"Q"&amp;ROUNDUP(MONTH(tblSales[[#This Row],[Date]])/3,0)</f>
        <v>Q1</v>
      </c>
      <c r="O246" s="11">
        <f>YEAR(tblSales[[#This Row],[Date]])</f>
        <v>2026</v>
      </c>
      <c r="P246" s="1">
        <f>tblSales[[#This Row],[Quantity]]*tblSales[[#This Row],[Unit Price]]</f>
        <v>960</v>
      </c>
      <c r="Q246" s="1">
        <f>tblSales[[#This Row],[Gross Sales]]*tblSales[[#This Row],[Discount%]]</f>
        <v>0</v>
      </c>
      <c r="R246" s="1">
        <f>tblSales[[#This Row],[Gross Sales]]-tblSales[[#This Row],[Discount Amount]]</f>
        <v>960</v>
      </c>
    </row>
    <row r="247" spans="1:18" x14ac:dyDescent="0.35">
      <c r="A247" t="str">
        <f t="shared" si="3"/>
        <v>ORD-2026-0246</v>
      </c>
      <c r="B247" s="2">
        <v>46028</v>
      </c>
      <c r="C247" t="str">
        <f>TEXT(tblSales[[#This Row],[Date]],"mmmm")</f>
        <v>January</v>
      </c>
      <c r="D247" t="s">
        <v>28</v>
      </c>
      <c r="E247" t="str">
        <f>_xlfn.XLOOKUP(tblSales[[#This Row],[Saleperson]],Lookup_Tables!$B$5:$B$16,Lookup_Tables!$C$5:$C$16)</f>
        <v>South</v>
      </c>
      <c r="F247" s="5" t="s">
        <v>64</v>
      </c>
      <c r="G247" t="str">
        <f>_xlfn.XLOOKUP(tblSales[[#This Row],[Customer]],Lookup_Tables!$I$5:$I$34,Lookup_Tables!$J$5:$J$34)</f>
        <v>Retail</v>
      </c>
      <c r="H247" t="str">
        <f>_xlfn.XLOOKUP(tblSales[[#This Row],[Product]],Lookup_Tables!$F$5:$F$23,Lookup_Tables!$E$5:$E$23,"")</f>
        <v>Electronics</v>
      </c>
      <c r="I247" t="s">
        <v>41</v>
      </c>
      <c r="J247" s="11">
        <v>5</v>
      </c>
      <c r="K247" s="1">
        <f>_xlfn.XLOOKUP(tblSales[[#This Row],[Product]],Lookup_Tables!$F$5:$F$23,Lookup_Tables!$G$5:$G$23,"")</f>
        <v>720</v>
      </c>
      <c r="L247" s="12">
        <f>_xlfn.XLOOKUP(tblSales[[#This Row],[Customer Type]],Lookup_Tables!$B$19:$B$21,Lookup_Tables!$C$19:$C$21,0)</f>
        <v>0</v>
      </c>
      <c r="M247" t="s">
        <v>34</v>
      </c>
      <c r="N247" s="11" t="str">
        <f>"Q"&amp;ROUNDUP(MONTH(tblSales[[#This Row],[Date]])/3,0)</f>
        <v>Q1</v>
      </c>
      <c r="O247" s="11">
        <f>YEAR(tblSales[[#This Row],[Date]])</f>
        <v>2026</v>
      </c>
      <c r="P247" s="1">
        <f>tblSales[[#This Row],[Quantity]]*tblSales[[#This Row],[Unit Price]]</f>
        <v>3600</v>
      </c>
      <c r="Q247" s="1">
        <f>tblSales[[#This Row],[Gross Sales]]*tblSales[[#This Row],[Discount%]]</f>
        <v>0</v>
      </c>
      <c r="R247" s="1">
        <f>tblSales[[#This Row],[Gross Sales]]-tblSales[[#This Row],[Discount Amount]]</f>
        <v>3600</v>
      </c>
    </row>
    <row r="248" spans="1:18" x14ac:dyDescent="0.35">
      <c r="A248" t="str">
        <f t="shared" si="3"/>
        <v>ORD-2026-0247</v>
      </c>
      <c r="B248" s="2">
        <v>46028</v>
      </c>
      <c r="C248" t="str">
        <f>TEXT(tblSales[[#This Row],[Date]],"mmmm")</f>
        <v>January</v>
      </c>
      <c r="D248" t="s">
        <v>22</v>
      </c>
      <c r="E248" t="str">
        <f>_xlfn.XLOOKUP(tblSales[[#This Row],[Saleperson]],Lookup_Tables!$B$5:$B$16,Lookup_Tables!$C$5:$C$16)</f>
        <v>North</v>
      </c>
      <c r="F248" s="5" t="s">
        <v>69</v>
      </c>
      <c r="G248" t="str">
        <f>_xlfn.XLOOKUP(tblSales[[#This Row],[Customer]],Lookup_Tables!$I$5:$I$34,Lookup_Tables!$J$5:$J$34)</f>
        <v>Retail</v>
      </c>
      <c r="H248" t="str">
        <f>_xlfn.XLOOKUP(tblSales[[#This Row],[Product]],Lookup_Tables!$F$5:$F$23,Lookup_Tables!$E$5:$E$23,"")</f>
        <v>Office Supplies</v>
      </c>
      <c r="I248" t="s">
        <v>52</v>
      </c>
      <c r="J248" s="11">
        <v>9</v>
      </c>
      <c r="K248" s="1">
        <f>_xlfn.XLOOKUP(tblSales[[#This Row],[Product]],Lookup_Tables!$F$5:$F$23,Lookup_Tables!$G$5:$G$23,"")</f>
        <v>60</v>
      </c>
      <c r="L248" s="12">
        <f>_xlfn.XLOOKUP(tblSales[[#This Row],[Customer Type]],Lookup_Tables!$B$19:$B$21,Lookup_Tables!$C$19:$C$21,0)</f>
        <v>0</v>
      </c>
      <c r="M248" t="s">
        <v>34</v>
      </c>
      <c r="N248" s="11" t="str">
        <f>"Q"&amp;ROUNDUP(MONTH(tblSales[[#This Row],[Date]])/3,0)</f>
        <v>Q1</v>
      </c>
      <c r="O248" s="11">
        <f>YEAR(tblSales[[#This Row],[Date]])</f>
        <v>2026</v>
      </c>
      <c r="P248" s="1">
        <f>tblSales[[#This Row],[Quantity]]*tblSales[[#This Row],[Unit Price]]</f>
        <v>540</v>
      </c>
      <c r="Q248" s="1">
        <f>tblSales[[#This Row],[Gross Sales]]*tblSales[[#This Row],[Discount%]]</f>
        <v>0</v>
      </c>
      <c r="R248" s="1">
        <f>tblSales[[#This Row],[Gross Sales]]-tblSales[[#This Row],[Discount Amount]]</f>
        <v>540</v>
      </c>
    </row>
    <row r="249" spans="1:18" x14ac:dyDescent="0.35">
      <c r="A249" t="str">
        <f t="shared" si="3"/>
        <v>ORD-2026-0248</v>
      </c>
      <c r="B249" s="2">
        <v>46028</v>
      </c>
      <c r="C249" t="str">
        <f>TEXT(tblSales[[#This Row],[Date]],"mmmm")</f>
        <v>January</v>
      </c>
      <c r="D249" t="s">
        <v>23</v>
      </c>
      <c r="E249" t="str">
        <f>_xlfn.XLOOKUP(tblSales[[#This Row],[Saleperson]],Lookup_Tables!$B$5:$B$16,Lookup_Tables!$C$5:$C$16)</f>
        <v>West</v>
      </c>
      <c r="F249" s="5" t="s">
        <v>70</v>
      </c>
      <c r="G249" t="str">
        <f>_xlfn.XLOOKUP(tblSales[[#This Row],[Customer]],Lookup_Tables!$I$5:$I$34,Lookup_Tables!$J$5:$J$34)</f>
        <v>Retail</v>
      </c>
      <c r="H249" t="str">
        <f>_xlfn.XLOOKUP(tblSales[[#This Row],[Product]],Lookup_Tables!$F$5:$F$23,Lookup_Tables!$E$5:$E$23,"")</f>
        <v>Furniture</v>
      </c>
      <c r="I249" t="s">
        <v>43</v>
      </c>
      <c r="J249" s="11">
        <v>8</v>
      </c>
      <c r="K249" s="1">
        <f>_xlfn.XLOOKUP(tblSales[[#This Row],[Product]],Lookup_Tables!$F$5:$F$23,Lookup_Tables!$G$5:$G$23,"")</f>
        <v>4200</v>
      </c>
      <c r="L249" s="12">
        <f>_xlfn.XLOOKUP(tblSales[[#This Row],[Customer Type]],Lookup_Tables!$B$19:$B$21,Lookup_Tables!$C$19:$C$21,0)</f>
        <v>0</v>
      </c>
      <c r="M249" t="s">
        <v>32</v>
      </c>
      <c r="N249" s="11" t="str">
        <f>"Q"&amp;ROUNDUP(MONTH(tblSales[[#This Row],[Date]])/3,0)</f>
        <v>Q1</v>
      </c>
      <c r="O249" s="11">
        <f>YEAR(tblSales[[#This Row],[Date]])</f>
        <v>2026</v>
      </c>
      <c r="P249" s="1">
        <f>tblSales[[#This Row],[Quantity]]*tblSales[[#This Row],[Unit Price]]</f>
        <v>33600</v>
      </c>
      <c r="Q249" s="1">
        <f>tblSales[[#This Row],[Gross Sales]]*tblSales[[#This Row],[Discount%]]</f>
        <v>0</v>
      </c>
      <c r="R249" s="1">
        <f>tblSales[[#This Row],[Gross Sales]]-tblSales[[#This Row],[Discount Amount]]</f>
        <v>33600</v>
      </c>
    </row>
    <row r="250" spans="1:18" x14ac:dyDescent="0.35">
      <c r="A250" t="str">
        <f t="shared" si="3"/>
        <v>ORD-2026-0249</v>
      </c>
      <c r="B250" s="2">
        <v>46028</v>
      </c>
      <c r="C250" t="str">
        <f>TEXT(tblSales[[#This Row],[Date]],"mmmm")</f>
        <v>January</v>
      </c>
      <c r="D250" t="s">
        <v>18</v>
      </c>
      <c r="E250" t="str">
        <f>_xlfn.XLOOKUP(tblSales[[#This Row],[Saleperson]],Lookup_Tables!$B$5:$B$16,Lookup_Tables!$C$5:$C$16)</f>
        <v>South</v>
      </c>
      <c r="F250" t="s">
        <v>63</v>
      </c>
      <c r="G250" t="str">
        <f>_xlfn.XLOOKUP(tblSales[[#This Row],[Customer]],Lookup_Tables!$I$5:$I$34,Lookup_Tables!$J$5:$J$34)</f>
        <v>Retail</v>
      </c>
      <c r="H250" t="str">
        <f>_xlfn.XLOOKUP(tblSales[[#This Row],[Product]],Lookup_Tables!$F$5:$F$23,Lookup_Tables!$E$5:$E$23,"")</f>
        <v>Furniture</v>
      </c>
      <c r="I250" t="s">
        <v>44</v>
      </c>
      <c r="J250" s="11">
        <v>1</v>
      </c>
      <c r="K250" s="1">
        <f>_xlfn.XLOOKUP(tblSales[[#This Row],[Product]],Lookup_Tables!$F$5:$F$23,Lookup_Tables!$G$5:$G$23,"")</f>
        <v>6900</v>
      </c>
      <c r="L250" s="12">
        <f>_xlfn.XLOOKUP(tblSales[[#This Row],[Customer Type]],Lookup_Tables!$B$19:$B$21,Lookup_Tables!$C$19:$C$21,0)</f>
        <v>0</v>
      </c>
      <c r="M250" t="s">
        <v>35</v>
      </c>
      <c r="N250" s="11" t="str">
        <f>"Q"&amp;ROUNDUP(MONTH(tblSales[[#This Row],[Date]])/3,0)</f>
        <v>Q1</v>
      </c>
      <c r="O250" s="11">
        <f>YEAR(tblSales[[#This Row],[Date]])</f>
        <v>2026</v>
      </c>
      <c r="P250" s="1">
        <f>tblSales[[#This Row],[Quantity]]*tblSales[[#This Row],[Unit Price]]</f>
        <v>6900</v>
      </c>
      <c r="Q250" s="1">
        <f>tblSales[[#This Row],[Gross Sales]]*tblSales[[#This Row],[Discount%]]</f>
        <v>0</v>
      </c>
      <c r="R250" s="1">
        <f>tblSales[[#This Row],[Gross Sales]]-tblSales[[#This Row],[Discount Amount]]</f>
        <v>6900</v>
      </c>
    </row>
    <row r="251" spans="1:18" x14ac:dyDescent="0.35">
      <c r="A251" t="str">
        <f t="shared" si="3"/>
        <v>ORD-2026-0250</v>
      </c>
      <c r="B251" s="2">
        <v>46029</v>
      </c>
      <c r="C251" t="str">
        <f>TEXT(tblSales[[#This Row],[Date]],"mmmm")</f>
        <v>January</v>
      </c>
      <c r="D251" t="s">
        <v>25</v>
      </c>
      <c r="E251" t="str">
        <f>_xlfn.XLOOKUP(tblSales[[#This Row],[Saleperson]],Lookup_Tables!$B$5:$B$16,Lookup_Tables!$C$5:$C$16)</f>
        <v>West</v>
      </c>
      <c r="F251" t="s">
        <v>65</v>
      </c>
      <c r="G251" t="str">
        <f>_xlfn.XLOOKUP(tblSales[[#This Row],[Customer]],Lookup_Tables!$I$5:$I$34,Lookup_Tables!$J$5:$J$34)</f>
        <v>Retail</v>
      </c>
      <c r="H251" t="str">
        <f>_xlfn.XLOOKUP(tblSales[[#This Row],[Product]],Lookup_Tables!$F$5:$F$23,Lookup_Tables!$E$5:$E$23,"")</f>
        <v>Office Supplies</v>
      </c>
      <c r="I251" t="s">
        <v>51</v>
      </c>
      <c r="J251" s="11">
        <v>3</v>
      </c>
      <c r="K251" s="1">
        <f>_xlfn.XLOOKUP(tblSales[[#This Row],[Product]],Lookup_Tables!$F$5:$F$23,Lookup_Tables!$G$5:$G$23,"")</f>
        <v>90</v>
      </c>
      <c r="L251" s="12">
        <f>_xlfn.XLOOKUP(tblSales[[#This Row],[Customer Type]],Lookup_Tables!$B$19:$B$21,Lookup_Tables!$C$19:$C$21,0)</f>
        <v>0</v>
      </c>
      <c r="M251" t="s">
        <v>34</v>
      </c>
      <c r="N251" s="11" t="str">
        <f>"Q"&amp;ROUNDUP(MONTH(tblSales[[#This Row],[Date]])/3,0)</f>
        <v>Q1</v>
      </c>
      <c r="O251" s="11">
        <f>YEAR(tblSales[[#This Row],[Date]])</f>
        <v>2026</v>
      </c>
      <c r="P251" s="1">
        <f>tblSales[[#This Row],[Quantity]]*tblSales[[#This Row],[Unit Price]]</f>
        <v>270</v>
      </c>
      <c r="Q251" s="1">
        <f>tblSales[[#This Row],[Gross Sales]]*tblSales[[#This Row],[Discount%]]</f>
        <v>0</v>
      </c>
      <c r="R251" s="1">
        <f>tblSales[[#This Row],[Gross Sales]]-tblSales[[#This Row],[Discount Amount]]</f>
        <v>270</v>
      </c>
    </row>
    <row r="252" spans="1:18" x14ac:dyDescent="0.35">
      <c r="A252" t="str">
        <f t="shared" si="3"/>
        <v>ORD-2026-0251</v>
      </c>
      <c r="B252" s="2">
        <v>46030</v>
      </c>
      <c r="C252" t="str">
        <f>TEXT(tblSales[[#This Row],[Date]],"mmmm")</f>
        <v>January</v>
      </c>
      <c r="D252" t="s">
        <v>17</v>
      </c>
      <c r="E252" t="str">
        <f>_xlfn.XLOOKUP(tblSales[[#This Row],[Saleperson]],Lookup_Tables!$B$5:$B$16,Lookup_Tables!$C$5:$C$16)</f>
        <v>North</v>
      </c>
      <c r="F252" s="5" t="s">
        <v>68</v>
      </c>
      <c r="G252" t="str">
        <f>_xlfn.XLOOKUP(tblSales[[#This Row],[Customer]],Lookup_Tables!$I$5:$I$34,Lookup_Tables!$J$5:$J$34)</f>
        <v>Government</v>
      </c>
      <c r="H252" t="str">
        <f>_xlfn.XLOOKUP(tblSales[[#This Row],[Product]],Lookup_Tables!$F$5:$F$23,Lookup_Tables!$E$5:$E$23,"")</f>
        <v>Electronics</v>
      </c>
      <c r="I252" t="s">
        <v>40</v>
      </c>
      <c r="J252" s="11">
        <v>3</v>
      </c>
      <c r="K252" s="1">
        <f>_xlfn.XLOOKUP(tblSales[[#This Row],[Product]],Lookup_Tables!$F$5:$F$23,Lookup_Tables!$G$5:$G$23,"")</f>
        <v>850</v>
      </c>
      <c r="L252" s="12">
        <f>_xlfn.XLOOKUP(tblSales[[#This Row],[Customer Type]],Lookup_Tables!$B$19:$B$21,Lookup_Tables!$C$19:$C$21,0)</f>
        <v>0.15</v>
      </c>
      <c r="M252" t="s">
        <v>35</v>
      </c>
      <c r="N252" s="11" t="str">
        <f>"Q"&amp;ROUNDUP(MONTH(tblSales[[#This Row],[Date]])/3,0)</f>
        <v>Q1</v>
      </c>
      <c r="O252" s="11">
        <f>YEAR(tblSales[[#This Row],[Date]])</f>
        <v>2026</v>
      </c>
      <c r="P252" s="1">
        <f>tblSales[[#This Row],[Quantity]]*tblSales[[#This Row],[Unit Price]]</f>
        <v>2550</v>
      </c>
      <c r="Q252" s="1">
        <f>tblSales[[#This Row],[Gross Sales]]*tblSales[[#This Row],[Discount%]]</f>
        <v>382.5</v>
      </c>
      <c r="R252" s="1">
        <f>tblSales[[#This Row],[Gross Sales]]-tblSales[[#This Row],[Discount Amount]]</f>
        <v>2167.5</v>
      </c>
    </row>
    <row r="253" spans="1:18" x14ac:dyDescent="0.35">
      <c r="A253" t="str">
        <f t="shared" si="3"/>
        <v>ORD-2026-0252</v>
      </c>
      <c r="B253" s="2">
        <v>46031</v>
      </c>
      <c r="C253" t="str">
        <f>TEXT(tblSales[[#This Row],[Date]],"mmmm")</f>
        <v>January</v>
      </c>
      <c r="D253" t="s">
        <v>24</v>
      </c>
      <c r="E253" t="str">
        <f>_xlfn.XLOOKUP(tblSales[[#This Row],[Saleperson]],Lookup_Tables!$B$5:$B$16,Lookup_Tables!$C$5:$C$16)</f>
        <v>South</v>
      </c>
      <c r="F253" t="s">
        <v>63</v>
      </c>
      <c r="G253" t="str">
        <f>_xlfn.XLOOKUP(tblSales[[#This Row],[Customer]],Lookup_Tables!$I$5:$I$34,Lookup_Tables!$J$5:$J$34)</f>
        <v>Retail</v>
      </c>
      <c r="H253" t="str">
        <f>_xlfn.XLOOKUP(tblSales[[#This Row],[Product]],Lookup_Tables!$F$5:$F$23,Lookup_Tables!$E$5:$E$23,"")</f>
        <v>Electronics</v>
      </c>
      <c r="I253" t="s">
        <v>41</v>
      </c>
      <c r="J253" s="11">
        <v>1</v>
      </c>
      <c r="K253" s="1">
        <f>_xlfn.XLOOKUP(tblSales[[#This Row],[Product]],Lookup_Tables!$F$5:$F$23,Lookup_Tables!$G$5:$G$23,"")</f>
        <v>720</v>
      </c>
      <c r="L253" s="12">
        <f>_xlfn.XLOOKUP(tblSales[[#This Row],[Customer Type]],Lookup_Tables!$B$19:$B$21,Lookup_Tables!$C$19:$C$21,0)</f>
        <v>0</v>
      </c>
      <c r="M253" t="s">
        <v>34</v>
      </c>
      <c r="N253" s="11" t="str">
        <f>"Q"&amp;ROUNDUP(MONTH(tblSales[[#This Row],[Date]])/3,0)</f>
        <v>Q1</v>
      </c>
      <c r="O253" s="11">
        <f>YEAR(tblSales[[#This Row],[Date]])</f>
        <v>2026</v>
      </c>
      <c r="P253" s="1">
        <f>tblSales[[#This Row],[Quantity]]*tblSales[[#This Row],[Unit Price]]</f>
        <v>720</v>
      </c>
      <c r="Q253" s="1">
        <f>tblSales[[#This Row],[Gross Sales]]*tblSales[[#This Row],[Discount%]]</f>
        <v>0</v>
      </c>
      <c r="R253" s="1">
        <f>tblSales[[#This Row],[Gross Sales]]-tblSales[[#This Row],[Discount Amount]]</f>
        <v>720</v>
      </c>
    </row>
    <row r="254" spans="1:18" x14ac:dyDescent="0.35">
      <c r="A254" t="str">
        <f t="shared" si="3"/>
        <v>ORD-2026-0253</v>
      </c>
      <c r="B254" s="2">
        <v>46032</v>
      </c>
      <c r="C254" t="str">
        <f>TEXT(tblSales[[#This Row],[Date]],"mmmm")</f>
        <v>January</v>
      </c>
      <c r="D254" t="s">
        <v>19</v>
      </c>
      <c r="E254" t="str">
        <f>_xlfn.XLOOKUP(tblSales[[#This Row],[Saleperson]],Lookup_Tables!$B$5:$B$16,Lookup_Tables!$C$5:$C$16)</f>
        <v>West</v>
      </c>
      <c r="F254" s="5" t="s">
        <v>71</v>
      </c>
      <c r="G254" t="str">
        <f>_xlfn.XLOOKUP(tblSales[[#This Row],[Customer]],Lookup_Tables!$I$5:$I$34,Lookup_Tables!$J$5:$J$34)</f>
        <v>Government</v>
      </c>
      <c r="H254" t="str">
        <f>_xlfn.XLOOKUP(tblSales[[#This Row],[Product]],Lookup_Tables!$F$5:$F$23,Lookup_Tables!$E$5:$E$23,"")</f>
        <v>Office Supplies</v>
      </c>
      <c r="I254" t="s">
        <v>54</v>
      </c>
      <c r="J254" s="11">
        <v>3</v>
      </c>
      <c r="K254" s="1">
        <f>_xlfn.XLOOKUP(tblSales[[#This Row],[Product]],Lookup_Tables!$F$5:$F$23,Lookup_Tables!$G$5:$G$23,"")</f>
        <v>210</v>
      </c>
      <c r="L254" s="12">
        <f>_xlfn.XLOOKUP(tblSales[[#This Row],[Customer Type]],Lookup_Tables!$B$19:$B$21,Lookup_Tables!$C$19:$C$21,0)</f>
        <v>0.15</v>
      </c>
      <c r="M254" t="s">
        <v>33</v>
      </c>
      <c r="N254" s="11" t="str">
        <f>"Q"&amp;ROUNDUP(MONTH(tblSales[[#This Row],[Date]])/3,0)</f>
        <v>Q1</v>
      </c>
      <c r="O254" s="11">
        <f>YEAR(tblSales[[#This Row],[Date]])</f>
        <v>2026</v>
      </c>
      <c r="P254" s="1">
        <f>tblSales[[#This Row],[Quantity]]*tblSales[[#This Row],[Unit Price]]</f>
        <v>630</v>
      </c>
      <c r="Q254" s="1">
        <f>tblSales[[#This Row],[Gross Sales]]*tblSales[[#This Row],[Discount%]]</f>
        <v>94.5</v>
      </c>
      <c r="R254" s="1">
        <f>tblSales[[#This Row],[Gross Sales]]-tblSales[[#This Row],[Discount Amount]]</f>
        <v>535.5</v>
      </c>
    </row>
    <row r="255" spans="1:18" x14ac:dyDescent="0.35">
      <c r="A255" t="str">
        <f t="shared" si="3"/>
        <v>ORD-2026-0254</v>
      </c>
      <c r="B255" s="2">
        <v>46032</v>
      </c>
      <c r="C255" t="str">
        <f>TEXT(tblSales[[#This Row],[Date]],"mmmm")</f>
        <v>January</v>
      </c>
      <c r="D255" t="s">
        <v>22</v>
      </c>
      <c r="E255" t="str">
        <f>_xlfn.XLOOKUP(tblSales[[#This Row],[Saleperson]],Lookup_Tables!$B$5:$B$16,Lookup_Tables!$C$5:$C$16)</f>
        <v>North</v>
      </c>
      <c r="F255" t="s">
        <v>63</v>
      </c>
      <c r="G255" t="str">
        <f>_xlfn.XLOOKUP(tblSales[[#This Row],[Customer]],Lookup_Tables!$I$5:$I$34,Lookup_Tables!$J$5:$J$34)</f>
        <v>Retail</v>
      </c>
      <c r="H255" t="str">
        <f>_xlfn.XLOOKUP(tblSales[[#This Row],[Product]],Lookup_Tables!$F$5:$F$23,Lookup_Tables!$E$5:$E$23,"")</f>
        <v>Office Supplies</v>
      </c>
      <c r="I255" t="s">
        <v>56</v>
      </c>
      <c r="J255" s="11">
        <v>5</v>
      </c>
      <c r="K255" s="1">
        <f>_xlfn.XLOOKUP(tblSales[[#This Row],[Product]],Lookup_Tables!$F$5:$F$23,Lookup_Tables!$G$5:$G$23,"")</f>
        <v>190</v>
      </c>
      <c r="L255" s="12">
        <f>_xlfn.XLOOKUP(tblSales[[#This Row],[Customer Type]],Lookup_Tables!$B$19:$B$21,Lookup_Tables!$C$19:$C$21,0)</f>
        <v>0</v>
      </c>
      <c r="M255" t="s">
        <v>33</v>
      </c>
      <c r="N255" s="11" t="str">
        <f>"Q"&amp;ROUNDUP(MONTH(tblSales[[#This Row],[Date]])/3,0)</f>
        <v>Q1</v>
      </c>
      <c r="O255" s="11">
        <f>YEAR(tblSales[[#This Row],[Date]])</f>
        <v>2026</v>
      </c>
      <c r="P255" s="1">
        <f>tblSales[[#This Row],[Quantity]]*tblSales[[#This Row],[Unit Price]]</f>
        <v>950</v>
      </c>
      <c r="Q255" s="1">
        <f>tblSales[[#This Row],[Gross Sales]]*tblSales[[#This Row],[Discount%]]</f>
        <v>0</v>
      </c>
      <c r="R255" s="1">
        <f>tblSales[[#This Row],[Gross Sales]]-tblSales[[#This Row],[Discount Amount]]</f>
        <v>950</v>
      </c>
    </row>
    <row r="256" spans="1:18" x14ac:dyDescent="0.35">
      <c r="A256" t="str">
        <f t="shared" si="3"/>
        <v>ORD-2026-0255</v>
      </c>
      <c r="B256" s="2">
        <v>46032</v>
      </c>
      <c r="C256" t="str">
        <f>TEXT(tblSales[[#This Row],[Date]],"mmmm")</f>
        <v>January</v>
      </c>
      <c r="D256" t="s">
        <v>27</v>
      </c>
      <c r="E256" t="str">
        <f>_xlfn.XLOOKUP(tblSales[[#This Row],[Saleperson]],Lookup_Tables!$B$5:$B$16,Lookup_Tables!$C$5:$C$16)</f>
        <v>East</v>
      </c>
      <c r="F256" s="5" t="s">
        <v>76</v>
      </c>
      <c r="G256" t="str">
        <f>_xlfn.XLOOKUP(tblSales[[#This Row],[Customer]],Lookup_Tables!$I$5:$I$34,Lookup_Tables!$J$5:$J$34)</f>
        <v>Retail</v>
      </c>
      <c r="H256" t="str">
        <f>_xlfn.XLOOKUP(tblSales[[#This Row],[Product]],Lookup_Tables!$F$5:$F$23,Lookup_Tables!$E$5:$E$23,"")</f>
        <v>Electronics</v>
      </c>
      <c r="I256" t="s">
        <v>41</v>
      </c>
      <c r="J256" s="11">
        <v>9</v>
      </c>
      <c r="K256" s="1">
        <f>_xlfn.XLOOKUP(tblSales[[#This Row],[Product]],Lookup_Tables!$F$5:$F$23,Lookup_Tables!$G$5:$G$23,"")</f>
        <v>720</v>
      </c>
      <c r="L256" s="12">
        <f>_xlfn.XLOOKUP(tblSales[[#This Row],[Customer Type]],Lookup_Tables!$B$19:$B$21,Lookup_Tables!$C$19:$C$21,0)</f>
        <v>0</v>
      </c>
      <c r="M256" t="s">
        <v>35</v>
      </c>
      <c r="N256" s="11" t="str">
        <f>"Q"&amp;ROUNDUP(MONTH(tblSales[[#This Row],[Date]])/3,0)</f>
        <v>Q1</v>
      </c>
      <c r="O256" s="11">
        <f>YEAR(tblSales[[#This Row],[Date]])</f>
        <v>2026</v>
      </c>
      <c r="P256" s="1">
        <f>tblSales[[#This Row],[Quantity]]*tblSales[[#This Row],[Unit Price]]</f>
        <v>6480</v>
      </c>
      <c r="Q256" s="1">
        <f>tblSales[[#This Row],[Gross Sales]]*tblSales[[#This Row],[Discount%]]</f>
        <v>0</v>
      </c>
      <c r="R256" s="1">
        <f>tblSales[[#This Row],[Gross Sales]]-tblSales[[#This Row],[Discount Amount]]</f>
        <v>6480</v>
      </c>
    </row>
    <row r="257" spans="1:22" x14ac:dyDescent="0.35">
      <c r="A257" t="str">
        <f t="shared" si="3"/>
        <v>ORD-2026-0256</v>
      </c>
      <c r="B257" s="2">
        <v>46032</v>
      </c>
      <c r="C257" t="str">
        <f>TEXT(tblSales[[#This Row],[Date]],"mmmm")</f>
        <v>January</v>
      </c>
      <c r="D257" t="s">
        <v>28</v>
      </c>
      <c r="E257" t="str">
        <f>_xlfn.XLOOKUP(tblSales[[#This Row],[Saleperson]],Lookup_Tables!$B$5:$B$16,Lookup_Tables!$C$5:$C$16)</f>
        <v>South</v>
      </c>
      <c r="F257" s="5" t="s">
        <v>64</v>
      </c>
      <c r="G257" t="str">
        <f>_xlfn.XLOOKUP(tblSales[[#This Row],[Customer]],Lookup_Tables!$I$5:$I$34,Lookup_Tables!$J$5:$J$34)</f>
        <v>Retail</v>
      </c>
      <c r="H257" t="str">
        <f>_xlfn.XLOOKUP(tblSales[[#This Row],[Product]],Lookup_Tables!$F$5:$F$23,Lookup_Tables!$E$5:$E$23,"")</f>
        <v>Office Supplies</v>
      </c>
      <c r="I257" t="s">
        <v>52</v>
      </c>
      <c r="J257" s="11">
        <v>10</v>
      </c>
      <c r="K257" s="1">
        <f>_xlfn.XLOOKUP(tblSales[[#This Row],[Product]],Lookup_Tables!$F$5:$F$23,Lookup_Tables!$G$5:$G$23,"")</f>
        <v>60</v>
      </c>
      <c r="L257" s="12">
        <f>_xlfn.XLOOKUP(tblSales[[#This Row],[Customer Type]],Lookup_Tables!$B$19:$B$21,Lookup_Tables!$C$19:$C$21,0)</f>
        <v>0</v>
      </c>
      <c r="M257" t="s">
        <v>34</v>
      </c>
      <c r="N257" s="11" t="str">
        <f>"Q"&amp;ROUNDUP(MONTH(tblSales[[#This Row],[Date]])/3,0)</f>
        <v>Q1</v>
      </c>
      <c r="O257" s="11">
        <f>YEAR(tblSales[[#This Row],[Date]])</f>
        <v>2026</v>
      </c>
      <c r="P257" s="1">
        <f>tblSales[[#This Row],[Quantity]]*tblSales[[#This Row],[Unit Price]]</f>
        <v>600</v>
      </c>
      <c r="Q257" s="1">
        <f>tblSales[[#This Row],[Gross Sales]]*tblSales[[#This Row],[Discount%]]</f>
        <v>0</v>
      </c>
      <c r="R257" s="1">
        <f>tblSales[[#This Row],[Gross Sales]]-tblSales[[#This Row],[Discount Amount]]</f>
        <v>600</v>
      </c>
    </row>
    <row r="258" spans="1:22" x14ac:dyDescent="0.35">
      <c r="A258" t="str">
        <f t="shared" ref="A258:A301" si="4">"ORD-2026-"&amp;TEXT(ROW()-1,"0000")</f>
        <v>ORD-2026-0257</v>
      </c>
      <c r="B258" s="2">
        <v>46033</v>
      </c>
      <c r="C258" t="str">
        <f>TEXT(tblSales[[#This Row],[Date]],"mmmm")</f>
        <v>January</v>
      </c>
      <c r="D258" t="s">
        <v>26</v>
      </c>
      <c r="E258" t="str">
        <f>_xlfn.XLOOKUP(tblSales[[#This Row],[Saleperson]],Lookup_Tables!$B$5:$B$16,Lookup_Tables!$C$5:$C$16)</f>
        <v>North</v>
      </c>
      <c r="F258" s="5" t="s">
        <v>87</v>
      </c>
      <c r="G258" t="str">
        <f>_xlfn.XLOOKUP(tblSales[[#This Row],[Customer]],Lookup_Tables!$I$5:$I$34,Lookup_Tables!$J$5:$J$34)</f>
        <v>Corporate</v>
      </c>
      <c r="H258" t="str">
        <f>_xlfn.XLOOKUP(tblSales[[#This Row],[Product]],Lookup_Tables!$F$5:$F$23,Lookup_Tables!$E$5:$E$23,"")</f>
        <v>Electronics</v>
      </c>
      <c r="I258" t="s">
        <v>37</v>
      </c>
      <c r="J258" s="11">
        <v>4</v>
      </c>
      <c r="K258" s="1">
        <f>_xlfn.XLOOKUP(tblSales[[#This Row],[Product]],Lookup_Tables!$F$5:$F$23,Lookup_Tables!$G$5:$G$23,"")</f>
        <v>20000</v>
      </c>
      <c r="L258" s="12">
        <f>_xlfn.XLOOKUP(tblSales[[#This Row],[Customer Type]],Lookup_Tables!$B$19:$B$21,Lookup_Tables!$C$19:$C$21,0)</f>
        <v>0.1</v>
      </c>
      <c r="M258" t="s">
        <v>33</v>
      </c>
      <c r="N258" s="11" t="str">
        <f>"Q"&amp;ROUNDUP(MONTH(tblSales[[#This Row],[Date]])/3,0)</f>
        <v>Q1</v>
      </c>
      <c r="O258" s="11">
        <f>YEAR(tblSales[[#This Row],[Date]])</f>
        <v>2026</v>
      </c>
      <c r="P258" s="1">
        <f>tblSales[[#This Row],[Quantity]]*tblSales[[#This Row],[Unit Price]]</f>
        <v>80000</v>
      </c>
      <c r="Q258" s="1">
        <f>tblSales[[#This Row],[Gross Sales]]*tblSales[[#This Row],[Discount%]]</f>
        <v>8000</v>
      </c>
      <c r="R258" s="1">
        <f>tblSales[[#This Row],[Gross Sales]]-tblSales[[#This Row],[Discount Amount]]</f>
        <v>72000</v>
      </c>
    </row>
    <row r="259" spans="1:22" x14ac:dyDescent="0.35">
      <c r="A259" t="str">
        <f t="shared" si="4"/>
        <v>ORD-2026-0258</v>
      </c>
      <c r="B259" s="2">
        <v>46034</v>
      </c>
      <c r="C259" t="str">
        <f>TEXT(tblSales[[#This Row],[Date]],"mmmm")</f>
        <v>January</v>
      </c>
      <c r="D259" t="s">
        <v>17</v>
      </c>
      <c r="E259" t="str">
        <f>_xlfn.XLOOKUP(tblSales[[#This Row],[Saleperson]],Lookup_Tables!$B$5:$B$16,Lookup_Tables!$C$5:$C$16)</f>
        <v>North</v>
      </c>
      <c r="F259" s="5" t="s">
        <v>81</v>
      </c>
      <c r="G259" t="str">
        <f>_xlfn.XLOOKUP(tblSales[[#This Row],[Customer]],Lookup_Tables!$I$5:$I$34,Lookup_Tables!$J$5:$J$34)</f>
        <v>Corporate</v>
      </c>
      <c r="H259" t="str">
        <f>_xlfn.XLOOKUP(tblSales[[#This Row],[Product]],Lookup_Tables!$F$5:$F$23,Lookup_Tables!$E$5:$E$23,"")</f>
        <v>Electronics</v>
      </c>
      <c r="I259" t="s">
        <v>40</v>
      </c>
      <c r="J259" s="11">
        <v>5</v>
      </c>
      <c r="K259" s="1">
        <f>_xlfn.XLOOKUP(tblSales[[#This Row],[Product]],Lookup_Tables!$F$5:$F$23,Lookup_Tables!$G$5:$G$23,"")</f>
        <v>850</v>
      </c>
      <c r="L259" s="12">
        <f>_xlfn.XLOOKUP(tblSales[[#This Row],[Customer Type]],Lookup_Tables!$B$19:$B$21,Lookup_Tables!$C$19:$C$21,0)</f>
        <v>0.1</v>
      </c>
      <c r="M259" t="s">
        <v>32</v>
      </c>
      <c r="N259" s="11" t="str">
        <f>"Q"&amp;ROUNDUP(MONTH(tblSales[[#This Row],[Date]])/3,0)</f>
        <v>Q1</v>
      </c>
      <c r="O259" s="11">
        <f>YEAR(tblSales[[#This Row],[Date]])</f>
        <v>2026</v>
      </c>
      <c r="P259" s="1">
        <f>tblSales[[#This Row],[Quantity]]*tblSales[[#This Row],[Unit Price]]</f>
        <v>4250</v>
      </c>
      <c r="Q259" s="1">
        <f>tblSales[[#This Row],[Gross Sales]]*tblSales[[#This Row],[Discount%]]</f>
        <v>425</v>
      </c>
      <c r="R259" s="1">
        <f>tblSales[[#This Row],[Gross Sales]]-tblSales[[#This Row],[Discount Amount]]</f>
        <v>3825</v>
      </c>
    </row>
    <row r="260" spans="1:22" x14ac:dyDescent="0.35">
      <c r="A260" t="str">
        <f t="shared" si="4"/>
        <v>ORD-2026-0259</v>
      </c>
      <c r="B260" s="2">
        <v>46034</v>
      </c>
      <c r="C260" t="str">
        <f>TEXT(tblSales[[#This Row],[Date]],"mmmm")</f>
        <v>January</v>
      </c>
      <c r="D260" t="s">
        <v>28</v>
      </c>
      <c r="E260" t="str">
        <f>_xlfn.XLOOKUP(tblSales[[#This Row],[Saleperson]],Lookup_Tables!$B$5:$B$16,Lookup_Tables!$C$5:$C$16)</f>
        <v>South</v>
      </c>
      <c r="F260" t="s">
        <v>63</v>
      </c>
      <c r="G260" t="str">
        <f>_xlfn.XLOOKUP(tblSales[[#This Row],[Customer]],Lookup_Tables!$I$5:$I$34,Lookup_Tables!$J$5:$J$34)</f>
        <v>Retail</v>
      </c>
      <c r="H260" t="str">
        <f>_xlfn.XLOOKUP(tblSales[[#This Row],[Product]],Lookup_Tables!$F$5:$F$23,Lookup_Tables!$E$5:$E$23,"")</f>
        <v>Furniture</v>
      </c>
      <c r="I260" t="s">
        <v>44</v>
      </c>
      <c r="J260" s="11">
        <v>8</v>
      </c>
      <c r="K260" s="1">
        <f>_xlfn.XLOOKUP(tblSales[[#This Row],[Product]],Lookup_Tables!$F$5:$F$23,Lookup_Tables!$G$5:$G$23,"")</f>
        <v>6900</v>
      </c>
      <c r="L260" s="12">
        <f>_xlfn.XLOOKUP(tblSales[[#This Row],[Customer Type]],Lookup_Tables!$B$19:$B$21,Lookup_Tables!$C$19:$C$21,0)</f>
        <v>0</v>
      </c>
      <c r="M260" t="s">
        <v>33</v>
      </c>
      <c r="N260" s="11" t="str">
        <f>"Q"&amp;ROUNDUP(MONTH(tblSales[[#This Row],[Date]])/3,0)</f>
        <v>Q1</v>
      </c>
      <c r="O260" s="11">
        <f>YEAR(tblSales[[#This Row],[Date]])</f>
        <v>2026</v>
      </c>
      <c r="P260" s="1">
        <f>tblSales[[#This Row],[Quantity]]*tblSales[[#This Row],[Unit Price]]</f>
        <v>55200</v>
      </c>
      <c r="Q260" s="1">
        <f>tblSales[[#This Row],[Gross Sales]]*tblSales[[#This Row],[Discount%]]</f>
        <v>0</v>
      </c>
      <c r="R260" s="1">
        <f>tblSales[[#This Row],[Gross Sales]]-tblSales[[#This Row],[Discount Amount]]</f>
        <v>55200</v>
      </c>
    </row>
    <row r="261" spans="1:22" x14ac:dyDescent="0.35">
      <c r="A261" t="str">
        <f t="shared" si="4"/>
        <v>ORD-2026-0260</v>
      </c>
      <c r="B261" s="2">
        <v>46034</v>
      </c>
      <c r="C261" t="str">
        <f>TEXT(tblSales[[#This Row],[Date]],"mmmm")</f>
        <v>January</v>
      </c>
      <c r="D261" t="s">
        <v>27</v>
      </c>
      <c r="E261" t="str">
        <f>_xlfn.XLOOKUP(tblSales[[#This Row],[Saleperson]],Lookup_Tables!$B$5:$B$16,Lookup_Tables!$C$5:$C$16)</f>
        <v>East</v>
      </c>
      <c r="F261" s="5" t="s">
        <v>70</v>
      </c>
      <c r="G261" t="str">
        <f>_xlfn.XLOOKUP(tblSales[[#This Row],[Customer]],Lookup_Tables!$I$5:$I$34,Lookup_Tables!$J$5:$J$34)</f>
        <v>Retail</v>
      </c>
      <c r="H261" t="str">
        <f>_xlfn.XLOOKUP(tblSales[[#This Row],[Product]],Lookup_Tables!$F$5:$F$23,Lookup_Tables!$E$5:$E$23,"")</f>
        <v>Furniture</v>
      </c>
      <c r="I261" t="s">
        <v>44</v>
      </c>
      <c r="J261" s="11">
        <v>4</v>
      </c>
      <c r="K261" s="1">
        <f>_xlfn.XLOOKUP(tblSales[[#This Row],[Product]],Lookup_Tables!$F$5:$F$23,Lookup_Tables!$G$5:$G$23,"")</f>
        <v>6900</v>
      </c>
      <c r="L261" s="12">
        <f>_xlfn.XLOOKUP(tblSales[[#This Row],[Customer Type]],Lookup_Tables!$B$19:$B$21,Lookup_Tables!$C$19:$C$21,0)</f>
        <v>0</v>
      </c>
      <c r="M261" t="s">
        <v>32</v>
      </c>
      <c r="N261" s="11" t="str">
        <f>"Q"&amp;ROUNDUP(MONTH(tblSales[[#This Row],[Date]])/3,0)</f>
        <v>Q1</v>
      </c>
      <c r="O261" s="11">
        <f>YEAR(tblSales[[#This Row],[Date]])</f>
        <v>2026</v>
      </c>
      <c r="P261" s="1">
        <f>tblSales[[#This Row],[Quantity]]*tblSales[[#This Row],[Unit Price]]</f>
        <v>27600</v>
      </c>
      <c r="Q261" s="1">
        <f>tblSales[[#This Row],[Gross Sales]]*tblSales[[#This Row],[Discount%]]</f>
        <v>0</v>
      </c>
      <c r="R261" s="1">
        <f>tblSales[[#This Row],[Gross Sales]]-tblSales[[#This Row],[Discount Amount]]</f>
        <v>27600</v>
      </c>
    </row>
    <row r="262" spans="1:22" x14ac:dyDescent="0.35">
      <c r="A262" t="str">
        <f t="shared" si="4"/>
        <v>ORD-2026-0261</v>
      </c>
      <c r="B262" s="2">
        <v>46035</v>
      </c>
      <c r="C262" t="str">
        <f>TEXT(tblSales[[#This Row],[Date]],"mmmm")</f>
        <v>January</v>
      </c>
      <c r="D262" t="s">
        <v>20</v>
      </c>
      <c r="E262" t="str">
        <f>_xlfn.XLOOKUP(tblSales[[#This Row],[Saleperson]],Lookup_Tables!$B$5:$B$16,Lookup_Tables!$C$5:$C$16)</f>
        <v>East</v>
      </c>
      <c r="F262" s="5" t="s">
        <v>68</v>
      </c>
      <c r="G262" t="str">
        <f>_xlfn.XLOOKUP(tblSales[[#This Row],[Customer]],Lookup_Tables!$I$5:$I$34,Lookup_Tables!$J$5:$J$34)</f>
        <v>Government</v>
      </c>
      <c r="H262" t="str">
        <f>_xlfn.XLOOKUP(tblSales[[#This Row],[Product]],Lookup_Tables!$F$5:$F$23,Lookup_Tables!$E$5:$E$23,"")</f>
        <v>Electronics</v>
      </c>
      <c r="I262" t="s">
        <v>40</v>
      </c>
      <c r="J262" s="11">
        <v>6</v>
      </c>
      <c r="K262" s="1">
        <f>_xlfn.XLOOKUP(tblSales[[#This Row],[Product]],Lookup_Tables!$F$5:$F$23,Lookup_Tables!$G$5:$G$23,"")</f>
        <v>850</v>
      </c>
      <c r="L262" s="6">
        <f>_xlfn.XLOOKUP(tblSales[[#This Row],[Customer Type]],Lookup_Tables!$B$19:$B$21,Lookup_Tables!$C$19:$C$21,0)</f>
        <v>0.15</v>
      </c>
      <c r="M262" t="s">
        <v>34</v>
      </c>
      <c r="N262" s="11" t="str">
        <f>"Q"&amp;ROUNDUP(MONTH(tblSales[[#This Row],[Date]])/3,0)</f>
        <v>Q1</v>
      </c>
      <c r="O262" s="11">
        <f>YEAR(tblSales[[#This Row],[Date]])</f>
        <v>2026</v>
      </c>
      <c r="P262" s="1">
        <f>tblSales[[#This Row],[Quantity]]*tblSales[[#This Row],[Unit Price]]</f>
        <v>5100</v>
      </c>
      <c r="Q262" s="1">
        <f>tblSales[[#This Row],[Gross Sales]]*tblSales[[#This Row],[Discount%]]</f>
        <v>765</v>
      </c>
      <c r="R262" s="1">
        <f>tblSales[[#This Row],[Gross Sales]]-tblSales[[#This Row],[Discount Amount]]</f>
        <v>4335</v>
      </c>
    </row>
    <row r="263" spans="1:22" x14ac:dyDescent="0.35">
      <c r="A263" t="str">
        <f t="shared" si="4"/>
        <v>ORD-2026-0262</v>
      </c>
      <c r="B263" s="2">
        <v>46036</v>
      </c>
      <c r="C263" t="str">
        <f>TEXT(tblSales[[#This Row],[Date]],"mmmm")</f>
        <v>January</v>
      </c>
      <c r="D263" t="s">
        <v>23</v>
      </c>
      <c r="E263" t="str">
        <f>_xlfn.XLOOKUP(tblSales[[#This Row],[Saleperson]],Lookup_Tables!$B$5:$B$16,Lookup_Tables!$C$5:$C$16)</f>
        <v>West</v>
      </c>
      <c r="F263" t="s">
        <v>63</v>
      </c>
      <c r="G263" t="str">
        <f>_xlfn.XLOOKUP(tblSales[[#This Row],[Customer]],Lookup_Tables!$I$5:$I$34,Lookup_Tables!$J$5:$J$34)</f>
        <v>Retail</v>
      </c>
      <c r="H263" t="str">
        <f>_xlfn.XLOOKUP(tblSales[[#This Row],[Product]],Lookup_Tables!$F$5:$F$23,Lookup_Tables!$E$5:$E$23,"")</f>
        <v>Furniture</v>
      </c>
      <c r="I263" t="s">
        <v>43</v>
      </c>
      <c r="J263" s="11">
        <v>9</v>
      </c>
      <c r="K263" s="1">
        <f>_xlfn.XLOOKUP(tblSales[[#This Row],[Product]],Lookup_Tables!$F$5:$F$23,Lookup_Tables!$G$5:$G$23,"")</f>
        <v>4200</v>
      </c>
      <c r="L263" s="12">
        <f>_xlfn.XLOOKUP(tblSales[[#This Row],[Customer Type]],Lookup_Tables!$B$19:$B$21,Lookup_Tables!$C$19:$C$21,0)</f>
        <v>0</v>
      </c>
      <c r="M263" t="s">
        <v>35</v>
      </c>
      <c r="N263" s="11" t="str">
        <f>"Q"&amp;ROUNDUP(MONTH(tblSales[[#This Row],[Date]])/3,0)</f>
        <v>Q1</v>
      </c>
      <c r="O263" s="11">
        <f>YEAR(tblSales[[#This Row],[Date]])</f>
        <v>2026</v>
      </c>
      <c r="P263" s="1">
        <f>tblSales[[#This Row],[Quantity]]*tblSales[[#This Row],[Unit Price]]</f>
        <v>37800</v>
      </c>
      <c r="Q263" s="1">
        <f>tblSales[[#This Row],[Gross Sales]]*tblSales[[#This Row],[Discount%]]</f>
        <v>0</v>
      </c>
      <c r="R263" s="1">
        <f>tblSales[[#This Row],[Gross Sales]]-tblSales[[#This Row],[Discount Amount]]</f>
        <v>37800</v>
      </c>
    </row>
    <row r="264" spans="1:22" x14ac:dyDescent="0.35">
      <c r="A264" t="str">
        <f t="shared" si="4"/>
        <v>ORD-2026-0263</v>
      </c>
      <c r="B264" s="2">
        <v>46037</v>
      </c>
      <c r="C264" t="str">
        <f>TEXT(tblSales[[#This Row],[Date]],"mmmm")</f>
        <v>January</v>
      </c>
      <c r="D264" t="s">
        <v>21</v>
      </c>
      <c r="E264" t="str">
        <f>_xlfn.XLOOKUP(tblSales[[#This Row],[Saleperson]],Lookup_Tables!$B$5:$B$16,Lookup_Tables!$C$5:$C$16)</f>
        <v>South</v>
      </c>
      <c r="F264" t="s">
        <v>62</v>
      </c>
      <c r="G264" t="str">
        <f>_xlfn.XLOOKUP(tblSales[[#This Row],[Customer]],Lookup_Tables!$I$5:$I$34,Lookup_Tables!$J$5:$J$34)</f>
        <v>Corporate</v>
      </c>
      <c r="H264" t="str">
        <f>_xlfn.XLOOKUP(tblSales[[#This Row],[Product]],Lookup_Tables!$F$5:$F$23,Lookup_Tables!$E$5:$E$23,"")</f>
        <v>Furniture</v>
      </c>
      <c r="I264" t="s">
        <v>43</v>
      </c>
      <c r="J264" s="11">
        <v>9</v>
      </c>
      <c r="K264" s="1">
        <f>_xlfn.XLOOKUP(tblSales[[#This Row],[Product]],Lookup_Tables!$F$5:$F$23,Lookup_Tables!$G$5:$G$23,"")</f>
        <v>4200</v>
      </c>
      <c r="L264" s="12">
        <f>_xlfn.XLOOKUP(tblSales[[#This Row],[Customer Type]],Lookup_Tables!$B$19:$B$21,Lookup_Tables!$C$19:$C$21,0)</f>
        <v>0.1</v>
      </c>
      <c r="M264" t="s">
        <v>34</v>
      </c>
      <c r="N264" s="11" t="str">
        <f>"Q"&amp;ROUNDUP(MONTH(tblSales[[#This Row],[Date]])/3,0)</f>
        <v>Q1</v>
      </c>
      <c r="O264" s="11">
        <f>YEAR(tblSales[[#This Row],[Date]])</f>
        <v>2026</v>
      </c>
      <c r="P264" s="1">
        <f>tblSales[[#This Row],[Quantity]]*tblSales[[#This Row],[Unit Price]]</f>
        <v>37800</v>
      </c>
      <c r="Q264" s="1">
        <f>tblSales[[#This Row],[Gross Sales]]*tblSales[[#This Row],[Discount%]]</f>
        <v>3780</v>
      </c>
      <c r="R264" s="1">
        <f>tblSales[[#This Row],[Gross Sales]]-tblSales[[#This Row],[Discount Amount]]</f>
        <v>34020</v>
      </c>
    </row>
    <row r="265" spans="1:22" x14ac:dyDescent="0.35">
      <c r="A265" t="str">
        <f t="shared" si="4"/>
        <v>ORD-2026-0264</v>
      </c>
      <c r="B265" s="2">
        <v>46038</v>
      </c>
      <c r="C265" t="str">
        <f>TEXT(tblSales[[#This Row],[Date]],"mmmm")</f>
        <v>January</v>
      </c>
      <c r="D265" t="s">
        <v>22</v>
      </c>
      <c r="E265" t="str">
        <f>_xlfn.XLOOKUP(tblSales[[#This Row],[Saleperson]],Lookup_Tables!$B$5:$B$16,Lookup_Tables!$C$5:$C$16)</f>
        <v>North</v>
      </c>
      <c r="F265" s="5" t="s">
        <v>64</v>
      </c>
      <c r="G265" t="str">
        <f>_xlfn.XLOOKUP(tblSales[[#This Row],[Customer]],Lookup_Tables!$I$5:$I$34,Lookup_Tables!$J$5:$J$34)</f>
        <v>Retail</v>
      </c>
      <c r="H265" t="str">
        <f>_xlfn.XLOOKUP(tblSales[[#This Row],[Product]],Lookup_Tables!$F$5:$F$23,Lookup_Tables!$E$5:$E$23,"")</f>
        <v>Office Supplies</v>
      </c>
      <c r="I265" t="s">
        <v>51</v>
      </c>
      <c r="J265" s="11">
        <v>10</v>
      </c>
      <c r="K265" s="1">
        <f>_xlfn.XLOOKUP(tblSales[[#This Row],[Product]],Lookup_Tables!$F$5:$F$23,Lookup_Tables!$G$5:$G$23,"")</f>
        <v>90</v>
      </c>
      <c r="L265" s="12">
        <f>_xlfn.XLOOKUP(tblSales[[#This Row],[Customer Type]],Lookup_Tables!$B$19:$B$21,Lookup_Tables!$C$19:$C$21,0)</f>
        <v>0</v>
      </c>
      <c r="M265" t="s">
        <v>33</v>
      </c>
      <c r="N265" s="11" t="str">
        <f>"Q"&amp;ROUNDUP(MONTH(tblSales[[#This Row],[Date]])/3,0)</f>
        <v>Q1</v>
      </c>
      <c r="O265" s="11">
        <f>YEAR(tblSales[[#This Row],[Date]])</f>
        <v>2026</v>
      </c>
      <c r="P265" s="1">
        <f>tblSales[[#This Row],[Quantity]]*tblSales[[#This Row],[Unit Price]]</f>
        <v>900</v>
      </c>
      <c r="Q265" s="1">
        <f>tblSales[[#This Row],[Gross Sales]]*tblSales[[#This Row],[Discount%]]</f>
        <v>0</v>
      </c>
      <c r="R265" s="1">
        <f>tblSales[[#This Row],[Gross Sales]]-tblSales[[#This Row],[Discount Amount]]</f>
        <v>900</v>
      </c>
    </row>
    <row r="266" spans="1:22" x14ac:dyDescent="0.35">
      <c r="A266" t="str">
        <f t="shared" si="4"/>
        <v>ORD-2026-0265</v>
      </c>
      <c r="B266" s="2">
        <v>46039</v>
      </c>
      <c r="C266" t="str">
        <f>TEXT(tblSales[[#This Row],[Date]],"mmmm")</f>
        <v>January</v>
      </c>
      <c r="D266" t="s">
        <v>19</v>
      </c>
      <c r="E266" t="str">
        <f>_xlfn.XLOOKUP(tblSales[[#This Row],[Saleperson]],Lookup_Tables!$B$5:$B$16,Lookup_Tables!$C$5:$C$16)</f>
        <v>West</v>
      </c>
      <c r="F266" s="5" t="s">
        <v>91</v>
      </c>
      <c r="G266" t="str">
        <f>_xlfn.XLOOKUP(tblSales[[#This Row],[Customer]],Lookup_Tables!$I$5:$I$34,Lookup_Tables!$J$5:$J$34)</f>
        <v>Corporate</v>
      </c>
      <c r="H266" t="str">
        <f>_xlfn.XLOOKUP(tblSales[[#This Row],[Product]],Lookup_Tables!$F$5:$F$23,Lookup_Tables!$E$5:$E$23,"")</f>
        <v>Electronics</v>
      </c>
      <c r="I266" t="s">
        <v>39</v>
      </c>
      <c r="J266" s="11">
        <v>10</v>
      </c>
      <c r="K266" s="1">
        <f>_xlfn.XLOOKUP(tblSales[[#This Row],[Product]],Lookup_Tables!$F$5:$F$23,Lookup_Tables!$G$5:$G$23,"")</f>
        <v>9500</v>
      </c>
      <c r="L266" s="12">
        <f>_xlfn.XLOOKUP(tblSales[[#This Row],[Customer Type]],Lookup_Tables!$B$19:$B$21,Lookup_Tables!$C$19:$C$21,0)</f>
        <v>0.1</v>
      </c>
      <c r="M266" t="s">
        <v>35</v>
      </c>
      <c r="N266" s="11" t="str">
        <f>"Q"&amp;ROUNDUP(MONTH(tblSales[[#This Row],[Date]])/3,0)</f>
        <v>Q1</v>
      </c>
      <c r="O266" s="11">
        <f>YEAR(tblSales[[#This Row],[Date]])</f>
        <v>2026</v>
      </c>
      <c r="P266" s="1">
        <f>tblSales[[#This Row],[Quantity]]*tblSales[[#This Row],[Unit Price]]</f>
        <v>95000</v>
      </c>
      <c r="Q266" s="1">
        <f>tblSales[[#This Row],[Gross Sales]]*tblSales[[#This Row],[Discount%]]</f>
        <v>9500</v>
      </c>
      <c r="R266" s="1">
        <f>tblSales[[#This Row],[Gross Sales]]-tblSales[[#This Row],[Discount Amount]]</f>
        <v>85500</v>
      </c>
    </row>
    <row r="267" spans="1:22" x14ac:dyDescent="0.35">
      <c r="A267" t="str">
        <f t="shared" si="4"/>
        <v>ORD-2026-0266</v>
      </c>
      <c r="B267" s="2">
        <v>46040</v>
      </c>
      <c r="C267" t="str">
        <f>TEXT(tblSales[[#This Row],[Date]],"mmmm")</f>
        <v>January</v>
      </c>
      <c r="D267" t="s">
        <v>17</v>
      </c>
      <c r="E267" t="str">
        <f>_xlfn.XLOOKUP(tblSales[[#This Row],[Saleperson]],Lookup_Tables!$B$5:$B$16,Lookup_Tables!$C$5:$C$16)</f>
        <v>North</v>
      </c>
      <c r="F267" s="5" t="s">
        <v>87</v>
      </c>
      <c r="G267" t="str">
        <f>_xlfn.XLOOKUP(tblSales[[#This Row],[Customer]],Lookup_Tables!$I$5:$I$34,Lookup_Tables!$J$5:$J$34)</f>
        <v>Corporate</v>
      </c>
      <c r="H267" t="str">
        <f>_xlfn.XLOOKUP(tblSales[[#This Row],[Product]],Lookup_Tables!$F$5:$F$23,Lookup_Tables!$E$5:$E$23,"")</f>
        <v>Furniture</v>
      </c>
      <c r="I267" t="s">
        <v>47</v>
      </c>
      <c r="J267" s="11">
        <v>10</v>
      </c>
      <c r="K267" s="1">
        <f>_xlfn.XLOOKUP(tblSales[[#This Row],[Product]],Lookup_Tables!$F$5:$F$23,Lookup_Tables!$G$5:$G$23,"")</f>
        <v>7500</v>
      </c>
      <c r="L267" s="12">
        <f>_xlfn.XLOOKUP(tblSales[[#This Row],[Customer Type]],Lookup_Tables!$B$19:$B$21,Lookup_Tables!$C$19:$C$21,0)</f>
        <v>0.1</v>
      </c>
      <c r="M267" t="s">
        <v>32</v>
      </c>
      <c r="N267" s="11" t="str">
        <f>"Q"&amp;ROUNDUP(MONTH(tblSales[[#This Row],[Date]])/3,0)</f>
        <v>Q1</v>
      </c>
      <c r="O267" s="11">
        <f>YEAR(tblSales[[#This Row],[Date]])</f>
        <v>2026</v>
      </c>
      <c r="P267" s="1">
        <f>tblSales[[#This Row],[Quantity]]*tblSales[[#This Row],[Unit Price]]</f>
        <v>75000</v>
      </c>
      <c r="Q267" s="1">
        <f>tblSales[[#This Row],[Gross Sales]]*tblSales[[#This Row],[Discount%]]</f>
        <v>7500</v>
      </c>
      <c r="R267" s="1">
        <f>tblSales[[#This Row],[Gross Sales]]-tblSales[[#This Row],[Discount Amount]]</f>
        <v>67500</v>
      </c>
    </row>
    <row r="268" spans="1:22" x14ac:dyDescent="0.35">
      <c r="A268" t="str">
        <f t="shared" si="4"/>
        <v>ORD-2026-0267</v>
      </c>
      <c r="B268" s="2">
        <v>46041</v>
      </c>
      <c r="C268" t="str">
        <f>TEXT(tblSales[[#This Row],[Date]],"mmmm")</f>
        <v>January</v>
      </c>
      <c r="D268" t="s">
        <v>25</v>
      </c>
      <c r="E268" t="str">
        <f>_xlfn.XLOOKUP(tblSales[[#This Row],[Saleperson]],Lookup_Tables!$B$5:$B$16,Lookup_Tables!$C$5:$C$16)</f>
        <v>West</v>
      </c>
      <c r="F268" s="5" t="s">
        <v>76</v>
      </c>
      <c r="G268" t="str">
        <f>_xlfn.XLOOKUP(tblSales[[#This Row],[Customer]],Lookup_Tables!$I$5:$I$34,Lookup_Tables!$J$5:$J$34)</f>
        <v>Retail</v>
      </c>
      <c r="H268" t="str">
        <f>_xlfn.XLOOKUP(tblSales[[#This Row],[Product]],Lookup_Tables!$F$5:$F$23,Lookup_Tables!$E$5:$E$23,"")</f>
        <v>Furniture</v>
      </c>
      <c r="I268" t="s">
        <v>46</v>
      </c>
      <c r="J268" s="11">
        <v>9</v>
      </c>
      <c r="K268" s="1">
        <f>_xlfn.XLOOKUP(tblSales[[#This Row],[Product]],Lookup_Tables!$F$5:$F$23,Lookup_Tables!$G$5:$G$23,"")</f>
        <v>3100</v>
      </c>
      <c r="L268" s="12">
        <f>_xlfn.XLOOKUP(tblSales[[#This Row],[Customer Type]],Lookup_Tables!$B$19:$B$21,Lookup_Tables!$C$19:$C$21,0)</f>
        <v>0</v>
      </c>
      <c r="M268" t="s">
        <v>33</v>
      </c>
      <c r="N268" s="11" t="str">
        <f>"Q"&amp;ROUNDUP(MONTH(tblSales[[#This Row],[Date]])/3,0)</f>
        <v>Q1</v>
      </c>
      <c r="O268" s="11">
        <f>YEAR(tblSales[[#This Row],[Date]])</f>
        <v>2026</v>
      </c>
      <c r="P268" s="1">
        <f>tblSales[[#This Row],[Quantity]]*tblSales[[#This Row],[Unit Price]]</f>
        <v>27900</v>
      </c>
      <c r="Q268" s="1">
        <f>tblSales[[#This Row],[Gross Sales]]*tblSales[[#This Row],[Discount%]]</f>
        <v>0</v>
      </c>
      <c r="R268" s="1">
        <f>tblSales[[#This Row],[Gross Sales]]-tblSales[[#This Row],[Discount Amount]]</f>
        <v>27900</v>
      </c>
    </row>
    <row r="269" spans="1:22" x14ac:dyDescent="0.35">
      <c r="A269" t="str">
        <f t="shared" si="4"/>
        <v>ORD-2026-0268</v>
      </c>
      <c r="B269" s="2">
        <v>46042</v>
      </c>
      <c r="C269" t="str">
        <f>TEXT(tblSales[[#This Row],[Date]],"mmmm")</f>
        <v>January</v>
      </c>
      <c r="D269" t="s">
        <v>26</v>
      </c>
      <c r="E269" t="str">
        <f>_xlfn.XLOOKUP(tblSales[[#This Row],[Saleperson]],Lookup_Tables!$B$5:$B$16,Lookup_Tables!$C$5:$C$16)</f>
        <v>North</v>
      </c>
      <c r="F269" s="5" t="s">
        <v>64</v>
      </c>
      <c r="G269" t="str">
        <f>_xlfn.XLOOKUP(tblSales[[#This Row],[Customer]],Lookup_Tables!$I$5:$I$34,Lookup_Tables!$J$5:$J$34)</f>
        <v>Retail</v>
      </c>
      <c r="H269" t="str">
        <f>_xlfn.XLOOKUP(tblSales[[#This Row],[Product]],Lookup_Tables!$F$5:$F$23,Lookup_Tables!$E$5:$E$23,"")</f>
        <v>Office Supplies</v>
      </c>
      <c r="I269" t="s">
        <v>56</v>
      </c>
      <c r="J269" s="11">
        <v>5</v>
      </c>
      <c r="K269" s="1">
        <f>_xlfn.XLOOKUP(tblSales[[#This Row],[Product]],Lookup_Tables!$F$5:$F$23,Lookup_Tables!$G$5:$G$23,"")</f>
        <v>190</v>
      </c>
      <c r="L269" s="12">
        <f>_xlfn.XLOOKUP(tblSales[[#This Row],[Customer Type]],Lookup_Tables!$B$19:$B$21,Lookup_Tables!$C$19:$C$21,0)</f>
        <v>0</v>
      </c>
      <c r="M269" t="s">
        <v>35</v>
      </c>
      <c r="N269" s="11" t="str">
        <f>"Q"&amp;ROUNDUP(MONTH(tblSales[[#This Row],[Date]])/3,0)</f>
        <v>Q1</v>
      </c>
      <c r="O269" s="11">
        <f>YEAR(tblSales[[#This Row],[Date]])</f>
        <v>2026</v>
      </c>
      <c r="P269" s="1">
        <f>tblSales[[#This Row],[Quantity]]*tblSales[[#This Row],[Unit Price]]</f>
        <v>950</v>
      </c>
      <c r="Q269" s="1">
        <f>tblSales[[#This Row],[Gross Sales]]*tblSales[[#This Row],[Discount%]]</f>
        <v>0</v>
      </c>
      <c r="R269" s="1">
        <f>tblSales[[#This Row],[Gross Sales]]-tblSales[[#This Row],[Discount Amount]]</f>
        <v>950</v>
      </c>
    </row>
    <row r="270" spans="1:22" x14ac:dyDescent="0.35">
      <c r="A270" t="str">
        <f t="shared" si="4"/>
        <v>ORD-2026-0269</v>
      </c>
      <c r="B270" s="2">
        <v>46043</v>
      </c>
      <c r="C270" t="str">
        <f>TEXT(tblSales[[#This Row],[Date]],"mmmm")</f>
        <v>January</v>
      </c>
      <c r="D270" t="s">
        <v>18</v>
      </c>
      <c r="E270" t="str">
        <f>_xlfn.XLOOKUP(tblSales[[#This Row],[Saleperson]],Lookup_Tables!$B$5:$B$16,Lookup_Tables!$C$5:$C$16)</f>
        <v>South</v>
      </c>
      <c r="F270" t="s">
        <v>62</v>
      </c>
      <c r="G270" t="str">
        <f>_xlfn.XLOOKUP(tblSales[[#This Row],[Customer]],Lookup_Tables!$I$5:$I$34,Lookup_Tables!$J$5:$J$34)</f>
        <v>Corporate</v>
      </c>
      <c r="H270" t="str">
        <f>_xlfn.XLOOKUP(tblSales[[#This Row],[Product]],Lookup_Tables!$F$5:$F$23,Lookup_Tables!$E$5:$E$23,"")</f>
        <v>Office Supplies</v>
      </c>
      <c r="I270" t="s">
        <v>50</v>
      </c>
      <c r="J270" s="11">
        <v>3</v>
      </c>
      <c r="K270" s="1">
        <f>_xlfn.XLOOKUP(tblSales[[#This Row],[Product]],Lookup_Tables!$F$5:$F$23,Lookup_Tables!$G$5:$G$23,"")</f>
        <v>180</v>
      </c>
      <c r="L270" s="12">
        <f>_xlfn.XLOOKUP(tblSales[[#This Row],[Customer Type]],Lookup_Tables!$B$19:$B$21,Lookup_Tables!$C$19:$C$21,0)</f>
        <v>0.1</v>
      </c>
      <c r="M270" t="s">
        <v>33</v>
      </c>
      <c r="N270" s="11" t="str">
        <f>"Q"&amp;ROUNDUP(MONTH(tblSales[[#This Row],[Date]])/3,0)</f>
        <v>Q1</v>
      </c>
      <c r="O270" s="11">
        <f>YEAR(tblSales[[#This Row],[Date]])</f>
        <v>2026</v>
      </c>
      <c r="P270" s="1">
        <f>tblSales[[#This Row],[Quantity]]*tblSales[[#This Row],[Unit Price]]</f>
        <v>540</v>
      </c>
      <c r="Q270" s="1">
        <f>tblSales[[#This Row],[Gross Sales]]*tblSales[[#This Row],[Discount%]]</f>
        <v>54</v>
      </c>
      <c r="R270" s="1">
        <f>tblSales[[#This Row],[Gross Sales]]-tblSales[[#This Row],[Discount Amount]]</f>
        <v>486</v>
      </c>
    </row>
    <row r="271" spans="1:22" x14ac:dyDescent="0.35">
      <c r="A271" t="str">
        <f t="shared" si="4"/>
        <v>ORD-2026-0270</v>
      </c>
      <c r="B271" s="2">
        <v>46044</v>
      </c>
      <c r="C271" t="str">
        <f>TEXT(tblSales[[#This Row],[Date]],"mmmm")</f>
        <v>January</v>
      </c>
      <c r="D271" t="s">
        <v>24</v>
      </c>
      <c r="E271" t="str">
        <f>_xlfn.XLOOKUP(tblSales[[#This Row],[Saleperson]],Lookup_Tables!$B$5:$B$16,Lookup_Tables!$C$5:$C$16)</f>
        <v>South</v>
      </c>
      <c r="F271" s="5" t="s">
        <v>68</v>
      </c>
      <c r="G271" t="str">
        <f>_xlfn.XLOOKUP(tblSales[[#This Row],[Customer]],Lookup_Tables!$I$5:$I$34,Lookup_Tables!$J$5:$J$34)</f>
        <v>Government</v>
      </c>
      <c r="H271" t="str">
        <f>_xlfn.XLOOKUP(tblSales[[#This Row],[Product]],Lookup_Tables!$F$5:$F$23,Lookup_Tables!$E$5:$E$23,"")</f>
        <v>Office Supplies</v>
      </c>
      <c r="I271" t="s">
        <v>56</v>
      </c>
      <c r="J271" s="11">
        <v>4</v>
      </c>
      <c r="K271" s="1">
        <f>_xlfn.XLOOKUP(tblSales[[#This Row],[Product]],Lookup_Tables!$F$5:$F$23,Lookup_Tables!$G$5:$G$23,"")</f>
        <v>190</v>
      </c>
      <c r="L271" s="12">
        <f>_xlfn.XLOOKUP(tblSales[[#This Row],[Customer Type]],Lookup_Tables!$B$19:$B$21,Lookup_Tables!$C$19:$C$21,0)</f>
        <v>0.15</v>
      </c>
      <c r="M271" t="s">
        <v>35</v>
      </c>
      <c r="N271" s="11" t="str">
        <f>"Q"&amp;ROUNDUP(MONTH(tblSales[[#This Row],[Date]])/3,0)</f>
        <v>Q1</v>
      </c>
      <c r="O271" s="11">
        <f>YEAR(tblSales[[#This Row],[Date]])</f>
        <v>2026</v>
      </c>
      <c r="P271" s="1">
        <f>tblSales[[#This Row],[Quantity]]*tblSales[[#This Row],[Unit Price]]</f>
        <v>760</v>
      </c>
      <c r="Q271" s="1">
        <f>tblSales[[#This Row],[Gross Sales]]*tblSales[[#This Row],[Discount%]]</f>
        <v>114</v>
      </c>
      <c r="R271" s="1">
        <f>tblSales[[#This Row],[Gross Sales]]-tblSales[[#This Row],[Discount Amount]]</f>
        <v>646</v>
      </c>
      <c r="U271" s="9"/>
      <c r="V271" s="10"/>
    </row>
    <row r="272" spans="1:22" x14ac:dyDescent="0.35">
      <c r="A272" t="str">
        <f t="shared" si="4"/>
        <v>ORD-2026-0271</v>
      </c>
      <c r="B272" s="2">
        <v>46045</v>
      </c>
      <c r="C272" t="str">
        <f>TEXT(tblSales[[#This Row],[Date]],"mmmm")</f>
        <v>January</v>
      </c>
      <c r="D272" t="s">
        <v>27</v>
      </c>
      <c r="E272" t="str">
        <f>_xlfn.XLOOKUP(tblSales[[#This Row],[Saleperson]],Lookup_Tables!$B$5:$B$16,Lookup_Tables!$C$5:$C$16)</f>
        <v>East</v>
      </c>
      <c r="F272" s="5" t="s">
        <v>64</v>
      </c>
      <c r="G272" t="str">
        <f>_xlfn.XLOOKUP(tblSales[[#This Row],[Customer]],Lookup_Tables!$I$5:$I$34,Lookup_Tables!$J$5:$J$34)</f>
        <v>Retail</v>
      </c>
      <c r="H272" t="str">
        <f>_xlfn.XLOOKUP(tblSales[[#This Row],[Product]],Lookup_Tables!$F$5:$F$23,Lookup_Tables!$E$5:$E$23,"")</f>
        <v>Furniture</v>
      </c>
      <c r="I272" t="s">
        <v>47</v>
      </c>
      <c r="J272" s="11">
        <v>8</v>
      </c>
      <c r="K272" s="1">
        <f>_xlfn.XLOOKUP(tblSales[[#This Row],[Product]],Lookup_Tables!$F$5:$F$23,Lookup_Tables!$G$5:$G$23,"")</f>
        <v>7500</v>
      </c>
      <c r="L272" s="12">
        <f>_xlfn.XLOOKUP(tblSales[[#This Row],[Customer Type]],Lookup_Tables!$B$19:$B$21,Lookup_Tables!$C$19:$C$21,0)</f>
        <v>0</v>
      </c>
      <c r="M272" t="s">
        <v>35</v>
      </c>
      <c r="N272" s="11" t="str">
        <f>"Q"&amp;ROUNDUP(MONTH(tblSales[[#This Row],[Date]])/3,0)</f>
        <v>Q1</v>
      </c>
      <c r="O272" s="11">
        <f>YEAR(tblSales[[#This Row],[Date]])</f>
        <v>2026</v>
      </c>
      <c r="P272" s="1">
        <f>tblSales[[#This Row],[Quantity]]*tblSales[[#This Row],[Unit Price]]</f>
        <v>60000</v>
      </c>
      <c r="Q272" s="1">
        <f>tblSales[[#This Row],[Gross Sales]]*tblSales[[#This Row],[Discount%]]</f>
        <v>0</v>
      </c>
      <c r="R272" s="1">
        <f>tblSales[[#This Row],[Gross Sales]]-tblSales[[#This Row],[Discount Amount]]</f>
        <v>60000</v>
      </c>
    </row>
    <row r="273" spans="1:18" x14ac:dyDescent="0.35">
      <c r="A273" t="str">
        <f t="shared" si="4"/>
        <v>ORD-2026-0272</v>
      </c>
      <c r="B273" s="2">
        <v>46046</v>
      </c>
      <c r="C273" t="str">
        <f>TEXT(tblSales[[#This Row],[Date]],"mmmm")</f>
        <v>January</v>
      </c>
      <c r="D273" t="s">
        <v>20</v>
      </c>
      <c r="E273" t="str">
        <f>_xlfn.XLOOKUP(tblSales[[#This Row],[Saleperson]],Lookup_Tables!$B$5:$B$16,Lookup_Tables!$C$5:$C$16)</f>
        <v>East</v>
      </c>
      <c r="F273" t="s">
        <v>65</v>
      </c>
      <c r="G273" t="str">
        <f>_xlfn.XLOOKUP(tblSales[[#This Row],[Customer]],Lookup_Tables!$I$5:$I$34,Lookup_Tables!$J$5:$J$34)</f>
        <v>Retail</v>
      </c>
      <c r="H273" t="str">
        <f>_xlfn.XLOOKUP(tblSales[[#This Row],[Product]],Lookup_Tables!$F$5:$F$23,Lookup_Tables!$E$5:$E$23,"")</f>
        <v>Office Supplies</v>
      </c>
      <c r="I273" t="s">
        <v>54</v>
      </c>
      <c r="J273" s="11">
        <v>6</v>
      </c>
      <c r="K273" s="1">
        <f>_xlfn.XLOOKUP(tblSales[[#This Row],[Product]],Lookup_Tables!$F$5:$F$23,Lookup_Tables!$G$5:$G$23,"")</f>
        <v>210</v>
      </c>
      <c r="L273" s="12">
        <f>_xlfn.XLOOKUP(tblSales[[#This Row],[Customer Type]],Lookup_Tables!$B$19:$B$21,Lookup_Tables!$C$19:$C$21,0)</f>
        <v>0</v>
      </c>
      <c r="M273" t="s">
        <v>34</v>
      </c>
      <c r="N273" s="11" t="str">
        <f>"Q"&amp;ROUNDUP(MONTH(tblSales[[#This Row],[Date]])/3,0)</f>
        <v>Q1</v>
      </c>
      <c r="O273" s="11">
        <f>YEAR(tblSales[[#This Row],[Date]])</f>
        <v>2026</v>
      </c>
      <c r="P273" s="1">
        <f>tblSales[[#This Row],[Quantity]]*tblSales[[#This Row],[Unit Price]]</f>
        <v>1260</v>
      </c>
      <c r="Q273" s="1">
        <f>tblSales[[#This Row],[Gross Sales]]*tblSales[[#This Row],[Discount%]]</f>
        <v>0</v>
      </c>
      <c r="R273" s="1">
        <f>tblSales[[#This Row],[Gross Sales]]-tblSales[[#This Row],[Discount Amount]]</f>
        <v>1260</v>
      </c>
    </row>
    <row r="274" spans="1:18" x14ac:dyDescent="0.35">
      <c r="A274" t="str">
        <f t="shared" si="4"/>
        <v>ORD-2026-0273</v>
      </c>
      <c r="B274" s="2">
        <v>46047</v>
      </c>
      <c r="C274" t="str">
        <f>TEXT(tblSales[[#This Row],[Date]],"mmmm")</f>
        <v>January</v>
      </c>
      <c r="D274" t="s">
        <v>28</v>
      </c>
      <c r="E274" t="str">
        <f>_xlfn.XLOOKUP(tblSales[[#This Row],[Saleperson]],Lookup_Tables!$B$5:$B$16,Lookup_Tables!$C$5:$C$16)</f>
        <v>South</v>
      </c>
      <c r="F274" t="s">
        <v>62</v>
      </c>
      <c r="G274" t="str">
        <f>_xlfn.XLOOKUP(tblSales[[#This Row],[Customer]],Lookup_Tables!$I$5:$I$34,Lookup_Tables!$J$5:$J$34)</f>
        <v>Corporate</v>
      </c>
      <c r="H274" t="str">
        <f>_xlfn.XLOOKUP(tblSales[[#This Row],[Product]],Lookup_Tables!$F$5:$F$23,Lookup_Tables!$E$5:$E$23,"")</f>
        <v>Office Supplies</v>
      </c>
      <c r="I274" t="s">
        <v>49</v>
      </c>
      <c r="J274" s="11">
        <v>1</v>
      </c>
      <c r="K274" s="1">
        <f>_xlfn.XLOOKUP(tblSales[[#This Row],[Product]],Lookup_Tables!$F$5:$F$23,Lookup_Tables!$G$5:$G$23,"")</f>
        <v>120</v>
      </c>
      <c r="L274" s="12">
        <f>_xlfn.XLOOKUP(tblSales[[#This Row],[Customer Type]],Lookup_Tables!$B$19:$B$21,Lookup_Tables!$C$19:$C$21,0)</f>
        <v>0.1</v>
      </c>
      <c r="M274" t="s">
        <v>33</v>
      </c>
      <c r="N274" s="11" t="str">
        <f>"Q"&amp;ROUNDUP(MONTH(tblSales[[#This Row],[Date]])/3,0)</f>
        <v>Q1</v>
      </c>
      <c r="O274" s="11">
        <f>YEAR(tblSales[[#This Row],[Date]])</f>
        <v>2026</v>
      </c>
      <c r="P274" s="1">
        <f>tblSales[[#This Row],[Quantity]]*tblSales[[#This Row],[Unit Price]]</f>
        <v>120</v>
      </c>
      <c r="Q274" s="1">
        <f>tblSales[[#This Row],[Gross Sales]]*tblSales[[#This Row],[Discount%]]</f>
        <v>12</v>
      </c>
      <c r="R274" s="1">
        <f>tblSales[[#This Row],[Gross Sales]]-tblSales[[#This Row],[Discount Amount]]</f>
        <v>108</v>
      </c>
    </row>
    <row r="275" spans="1:18" x14ac:dyDescent="0.35">
      <c r="A275" t="str">
        <f t="shared" si="4"/>
        <v>ORD-2026-0274</v>
      </c>
      <c r="B275" s="2">
        <v>46048</v>
      </c>
      <c r="C275" t="str">
        <f>TEXT(tblSales[[#This Row],[Date]],"mmmm")</f>
        <v>January</v>
      </c>
      <c r="D275" t="s">
        <v>22</v>
      </c>
      <c r="E275" t="str">
        <f>_xlfn.XLOOKUP(tblSales[[#This Row],[Saleperson]],Lookup_Tables!$B$5:$B$16,Lookup_Tables!$C$5:$C$16)</f>
        <v>North</v>
      </c>
      <c r="F275" s="5" t="s">
        <v>70</v>
      </c>
      <c r="G275" t="str">
        <f>_xlfn.XLOOKUP(tblSales[[#This Row],[Customer]],Lookup_Tables!$I$5:$I$34,Lookup_Tables!$J$5:$J$34)</f>
        <v>Retail</v>
      </c>
      <c r="H275" t="str">
        <f>_xlfn.XLOOKUP(tblSales[[#This Row],[Product]],Lookup_Tables!$F$5:$F$23,Lookup_Tables!$E$5:$E$23,"")</f>
        <v>Furniture</v>
      </c>
      <c r="I275" t="s">
        <v>44</v>
      </c>
      <c r="J275" s="11">
        <v>7</v>
      </c>
      <c r="K275" s="1">
        <f>_xlfn.XLOOKUP(tblSales[[#This Row],[Product]],Lookup_Tables!$F$5:$F$23,Lookup_Tables!$G$5:$G$23,"")</f>
        <v>6900</v>
      </c>
      <c r="L275" s="12">
        <f>_xlfn.XLOOKUP(tblSales[[#This Row],[Customer Type]],Lookup_Tables!$B$19:$B$21,Lookup_Tables!$C$19:$C$21,0)</f>
        <v>0</v>
      </c>
      <c r="M275" t="s">
        <v>34</v>
      </c>
      <c r="N275" s="11" t="str">
        <f>"Q"&amp;ROUNDUP(MONTH(tblSales[[#This Row],[Date]])/3,0)</f>
        <v>Q1</v>
      </c>
      <c r="O275" s="11">
        <f>YEAR(tblSales[[#This Row],[Date]])</f>
        <v>2026</v>
      </c>
      <c r="P275" s="1">
        <f>tblSales[[#This Row],[Quantity]]*tblSales[[#This Row],[Unit Price]]</f>
        <v>48300</v>
      </c>
      <c r="Q275" s="1">
        <f>tblSales[[#This Row],[Gross Sales]]*tblSales[[#This Row],[Discount%]]</f>
        <v>0</v>
      </c>
      <c r="R275" s="1">
        <f>tblSales[[#This Row],[Gross Sales]]-tblSales[[#This Row],[Discount Amount]]</f>
        <v>48300</v>
      </c>
    </row>
    <row r="276" spans="1:18" x14ac:dyDescent="0.35">
      <c r="A276" t="str">
        <f t="shared" si="4"/>
        <v>ORD-2026-0275</v>
      </c>
      <c r="B276" s="2">
        <v>46049</v>
      </c>
      <c r="C276" t="str">
        <f>TEXT(tblSales[[#This Row],[Date]],"mmmm")</f>
        <v>January</v>
      </c>
      <c r="D276" t="s">
        <v>21</v>
      </c>
      <c r="E276" t="str">
        <f>_xlfn.XLOOKUP(tblSales[[#This Row],[Saleperson]],Lookup_Tables!$B$5:$B$16,Lookup_Tables!$C$5:$C$16)</f>
        <v>South</v>
      </c>
      <c r="F276" s="5" t="s">
        <v>91</v>
      </c>
      <c r="G276" t="str">
        <f>_xlfn.XLOOKUP(tblSales[[#This Row],[Customer]],Lookup_Tables!$I$5:$I$34,Lookup_Tables!$J$5:$J$34)</f>
        <v>Corporate</v>
      </c>
      <c r="H276" t="str">
        <f>_xlfn.XLOOKUP(tblSales[[#This Row],[Product]],Lookup_Tables!$F$5:$F$23,Lookup_Tables!$E$5:$E$23,"")</f>
        <v>Electronics</v>
      </c>
      <c r="I276" t="s">
        <v>37</v>
      </c>
      <c r="J276" s="11">
        <v>10</v>
      </c>
      <c r="K276" s="1">
        <f>_xlfn.XLOOKUP(tblSales[[#This Row],[Product]],Lookup_Tables!$F$5:$F$23,Lookup_Tables!$G$5:$G$23,"")</f>
        <v>20000</v>
      </c>
      <c r="L276" s="12">
        <f>_xlfn.XLOOKUP(tblSales[[#This Row],[Customer Type]],Lookup_Tables!$B$19:$B$21,Lookup_Tables!$C$19:$C$21,0)</f>
        <v>0.1</v>
      </c>
      <c r="M276" t="s">
        <v>34</v>
      </c>
      <c r="N276" s="11" t="str">
        <f>"Q"&amp;ROUNDUP(MONTH(tblSales[[#This Row],[Date]])/3,0)</f>
        <v>Q1</v>
      </c>
      <c r="O276" s="11">
        <f>YEAR(tblSales[[#This Row],[Date]])</f>
        <v>2026</v>
      </c>
      <c r="P276" s="1">
        <f>tblSales[[#This Row],[Quantity]]*tblSales[[#This Row],[Unit Price]]</f>
        <v>200000</v>
      </c>
      <c r="Q276" s="1">
        <f>tblSales[[#This Row],[Gross Sales]]*tblSales[[#This Row],[Discount%]]</f>
        <v>20000</v>
      </c>
      <c r="R276" s="1">
        <f>tblSales[[#This Row],[Gross Sales]]-tblSales[[#This Row],[Discount Amount]]</f>
        <v>180000</v>
      </c>
    </row>
    <row r="277" spans="1:18" x14ac:dyDescent="0.35">
      <c r="A277" t="str">
        <f t="shared" si="4"/>
        <v>ORD-2026-0276</v>
      </c>
      <c r="B277" s="2">
        <v>46050</v>
      </c>
      <c r="C277" t="str">
        <f>TEXT(tblSales[[#This Row],[Date]],"mmmm")</f>
        <v>January</v>
      </c>
      <c r="D277" t="s">
        <v>23</v>
      </c>
      <c r="E277" t="str">
        <f>_xlfn.XLOOKUP(tblSales[[#This Row],[Saleperson]],Lookup_Tables!$B$5:$B$16,Lookup_Tables!$C$5:$C$16)</f>
        <v>West</v>
      </c>
      <c r="F277" s="5" t="s">
        <v>91</v>
      </c>
      <c r="G277" t="str">
        <f>_xlfn.XLOOKUP(tblSales[[#This Row],[Customer]],Lookup_Tables!$I$5:$I$34,Lookup_Tables!$J$5:$J$34)</f>
        <v>Corporate</v>
      </c>
      <c r="H277" t="str">
        <f>_xlfn.XLOOKUP(tblSales[[#This Row],[Product]],Lookup_Tables!$F$5:$F$23,Lookup_Tables!$E$5:$E$23,"")</f>
        <v>Office Supplies</v>
      </c>
      <c r="I277" t="s">
        <v>51</v>
      </c>
      <c r="J277" s="11">
        <v>10</v>
      </c>
      <c r="K277" s="1">
        <f>_xlfn.XLOOKUP(tblSales[[#This Row],[Product]],Lookup_Tables!$F$5:$F$23,Lookup_Tables!$G$5:$G$23,"")</f>
        <v>90</v>
      </c>
      <c r="L277" s="12">
        <f>_xlfn.XLOOKUP(tblSales[[#This Row],[Customer Type]],Lookup_Tables!$B$19:$B$21,Lookup_Tables!$C$19:$C$21,0)</f>
        <v>0.1</v>
      </c>
      <c r="M277" t="s">
        <v>33</v>
      </c>
      <c r="N277" s="11" t="str">
        <f>"Q"&amp;ROUNDUP(MONTH(tblSales[[#This Row],[Date]])/3,0)</f>
        <v>Q1</v>
      </c>
      <c r="O277" s="11">
        <f>YEAR(tblSales[[#This Row],[Date]])</f>
        <v>2026</v>
      </c>
      <c r="P277" s="1">
        <f>tblSales[[#This Row],[Quantity]]*tblSales[[#This Row],[Unit Price]]</f>
        <v>900</v>
      </c>
      <c r="Q277" s="1">
        <f>tblSales[[#This Row],[Gross Sales]]*tblSales[[#This Row],[Discount%]]</f>
        <v>90</v>
      </c>
      <c r="R277" s="1">
        <f>tblSales[[#This Row],[Gross Sales]]-tblSales[[#This Row],[Discount Amount]]</f>
        <v>810</v>
      </c>
    </row>
    <row r="278" spans="1:18" x14ac:dyDescent="0.35">
      <c r="A278" t="str">
        <f t="shared" si="4"/>
        <v>ORD-2026-0277</v>
      </c>
      <c r="B278" s="2">
        <v>46054</v>
      </c>
      <c r="C278" t="str">
        <f>TEXT(tblSales[[#This Row],[Date]],"mmmm")</f>
        <v>February</v>
      </c>
      <c r="D278" t="s">
        <v>17</v>
      </c>
      <c r="E278" t="str">
        <f>_xlfn.XLOOKUP(tblSales[[#This Row],[Saleperson]],Lookup_Tables!$B$5:$B$16,Lookup_Tables!$C$5:$C$16)</f>
        <v>North</v>
      </c>
      <c r="F278" s="5" t="s">
        <v>67</v>
      </c>
      <c r="G278" t="str">
        <f>_xlfn.XLOOKUP(tblSales[[#This Row],[Customer]],Lookup_Tables!$I$5:$I$34,Lookup_Tables!$J$5:$J$34)</f>
        <v>Government</v>
      </c>
      <c r="H278" t="str">
        <f>_xlfn.XLOOKUP(tblSales[[#This Row],[Product]],Lookup_Tables!$F$5:$F$23,Lookup_Tables!$E$5:$E$23,"")</f>
        <v>Office Supplies</v>
      </c>
      <c r="I278" t="s">
        <v>53</v>
      </c>
      <c r="J278" s="11">
        <v>3</v>
      </c>
      <c r="K278" s="1">
        <f>_xlfn.XLOOKUP(tblSales[[#This Row],[Product]],Lookup_Tables!$F$5:$F$23,Lookup_Tables!$G$5:$G$23,"")</f>
        <v>32</v>
      </c>
      <c r="L278" s="12">
        <f>_xlfn.XLOOKUP(tblSales[[#This Row],[Customer Type]],Lookup_Tables!$B$19:$B$21,Lookup_Tables!$C$19:$C$21,0)</f>
        <v>0.15</v>
      </c>
      <c r="M278" t="s">
        <v>34</v>
      </c>
      <c r="N278" s="11" t="str">
        <f>"Q"&amp;ROUNDUP(MONTH(tblSales[[#This Row],[Date]])/3,0)</f>
        <v>Q1</v>
      </c>
      <c r="O278" s="11">
        <f>YEAR(tblSales[[#This Row],[Date]])</f>
        <v>2026</v>
      </c>
      <c r="P278" s="1">
        <f>tblSales[[#This Row],[Quantity]]*tblSales[[#This Row],[Unit Price]]</f>
        <v>96</v>
      </c>
      <c r="Q278" s="1">
        <f>tblSales[[#This Row],[Gross Sales]]*tblSales[[#This Row],[Discount%]]</f>
        <v>14.399999999999999</v>
      </c>
      <c r="R278" s="1">
        <f>tblSales[[#This Row],[Gross Sales]]-tblSales[[#This Row],[Discount Amount]]</f>
        <v>81.599999999999994</v>
      </c>
    </row>
    <row r="279" spans="1:18" x14ac:dyDescent="0.35">
      <c r="A279" t="str">
        <f t="shared" si="4"/>
        <v>ORD-2026-0278</v>
      </c>
      <c r="B279" s="2">
        <v>46056</v>
      </c>
      <c r="C279" t="str">
        <f>TEXT(tblSales[[#This Row],[Date]],"mmmm")</f>
        <v>February</v>
      </c>
      <c r="D279" t="s">
        <v>28</v>
      </c>
      <c r="E279" t="str">
        <f>_xlfn.XLOOKUP(tblSales[[#This Row],[Saleperson]],Lookup_Tables!$B$5:$B$16,Lookup_Tables!$C$5:$C$16)</f>
        <v>South</v>
      </c>
      <c r="F279" s="5" t="s">
        <v>68</v>
      </c>
      <c r="G279" t="str">
        <f>_xlfn.XLOOKUP(tblSales[[#This Row],[Customer]],Lookup_Tables!$I$5:$I$34,Lookup_Tables!$J$5:$J$34)</f>
        <v>Government</v>
      </c>
      <c r="H279" t="str">
        <f>_xlfn.XLOOKUP(tblSales[[#This Row],[Product]],Lookup_Tables!$F$5:$F$23,Lookup_Tables!$E$5:$E$23,"")</f>
        <v>Furniture</v>
      </c>
      <c r="I279" t="s">
        <v>45</v>
      </c>
      <c r="J279" s="11">
        <v>4</v>
      </c>
      <c r="K279" s="1">
        <f>_xlfn.XLOOKUP(tblSales[[#This Row],[Product]],Lookup_Tables!$F$5:$F$23,Lookup_Tables!$G$5:$G$23,"")</f>
        <v>5200</v>
      </c>
      <c r="L279" s="12">
        <f>_xlfn.XLOOKUP(tblSales[[#This Row],[Customer Type]],Lookup_Tables!$B$19:$B$21,Lookup_Tables!$C$19:$C$21,0)</f>
        <v>0.15</v>
      </c>
      <c r="M279" t="s">
        <v>32</v>
      </c>
      <c r="N279" s="11" t="str">
        <f>"Q"&amp;ROUNDUP(MONTH(tblSales[[#This Row],[Date]])/3,0)</f>
        <v>Q1</v>
      </c>
      <c r="O279" s="11">
        <f>YEAR(tblSales[[#This Row],[Date]])</f>
        <v>2026</v>
      </c>
      <c r="P279" s="1">
        <f>tblSales[[#This Row],[Quantity]]*tblSales[[#This Row],[Unit Price]]</f>
        <v>20800</v>
      </c>
      <c r="Q279" s="1">
        <f>tblSales[[#This Row],[Gross Sales]]*tblSales[[#This Row],[Discount%]]</f>
        <v>3120</v>
      </c>
      <c r="R279" s="1">
        <f>tblSales[[#This Row],[Gross Sales]]-tblSales[[#This Row],[Discount Amount]]</f>
        <v>17680</v>
      </c>
    </row>
    <row r="280" spans="1:18" x14ac:dyDescent="0.35">
      <c r="A280" t="str">
        <f t="shared" si="4"/>
        <v>ORD-2026-0279</v>
      </c>
      <c r="B280" s="2">
        <v>46056</v>
      </c>
      <c r="C280" t="str">
        <f>TEXT(tblSales[[#This Row],[Date]],"mmmm")</f>
        <v>February</v>
      </c>
      <c r="D280" t="s">
        <v>19</v>
      </c>
      <c r="E280" t="str">
        <f>_xlfn.XLOOKUP(tblSales[[#This Row],[Saleperson]],Lookup_Tables!$B$5:$B$16,Lookup_Tables!$C$5:$C$16)</f>
        <v>West</v>
      </c>
      <c r="F280" t="s">
        <v>62</v>
      </c>
      <c r="G280" t="str">
        <f>_xlfn.XLOOKUP(tblSales[[#This Row],[Customer]],Lookup_Tables!$I$5:$I$34,Lookup_Tables!$J$5:$J$34)</f>
        <v>Corporate</v>
      </c>
      <c r="H280" t="str">
        <f>_xlfn.XLOOKUP(tblSales[[#This Row],[Product]],Lookup_Tables!$F$5:$F$23,Lookup_Tables!$E$5:$E$23,"")</f>
        <v>Office Supplies</v>
      </c>
      <c r="I280" t="s">
        <v>52</v>
      </c>
      <c r="J280" s="11">
        <v>10</v>
      </c>
      <c r="K280" s="1">
        <f>_xlfn.XLOOKUP(tblSales[[#This Row],[Product]],Lookup_Tables!$F$5:$F$23,Lookup_Tables!$G$5:$G$23,"")</f>
        <v>60</v>
      </c>
      <c r="L280" s="12">
        <f>_xlfn.XLOOKUP(tblSales[[#This Row],[Customer Type]],Lookup_Tables!$B$19:$B$21,Lookup_Tables!$C$19:$C$21,0)</f>
        <v>0.1</v>
      </c>
      <c r="M280" t="s">
        <v>33</v>
      </c>
      <c r="N280" s="11" t="str">
        <f>"Q"&amp;ROUNDUP(MONTH(tblSales[[#This Row],[Date]])/3,0)</f>
        <v>Q1</v>
      </c>
      <c r="O280" s="11">
        <f>YEAR(tblSales[[#This Row],[Date]])</f>
        <v>2026</v>
      </c>
      <c r="P280" s="1">
        <f>tblSales[[#This Row],[Quantity]]*tblSales[[#This Row],[Unit Price]]</f>
        <v>600</v>
      </c>
      <c r="Q280" s="1">
        <f>tblSales[[#This Row],[Gross Sales]]*tblSales[[#This Row],[Discount%]]</f>
        <v>60</v>
      </c>
      <c r="R280" s="1">
        <f>tblSales[[#This Row],[Gross Sales]]-tblSales[[#This Row],[Discount Amount]]</f>
        <v>540</v>
      </c>
    </row>
    <row r="281" spans="1:18" x14ac:dyDescent="0.35">
      <c r="A281" t="str">
        <f t="shared" si="4"/>
        <v>ORD-2026-0280</v>
      </c>
      <c r="B281" s="2">
        <v>46057</v>
      </c>
      <c r="C281" t="str">
        <f>TEXT(tblSales[[#This Row],[Date]],"mmmm")</f>
        <v>February</v>
      </c>
      <c r="D281" t="s">
        <v>18</v>
      </c>
      <c r="E281" t="str">
        <f>_xlfn.XLOOKUP(tblSales[[#This Row],[Saleperson]],Lookup_Tables!$B$5:$B$16,Lookup_Tables!$C$5:$C$16)</f>
        <v>South</v>
      </c>
      <c r="F281" t="s">
        <v>63</v>
      </c>
      <c r="G281" t="str">
        <f>_xlfn.XLOOKUP(tblSales[[#This Row],[Customer]],Lookup_Tables!$I$5:$I$34,Lookup_Tables!$J$5:$J$34)</f>
        <v>Retail</v>
      </c>
      <c r="H281" t="str">
        <f>_xlfn.XLOOKUP(tblSales[[#This Row],[Product]],Lookup_Tables!$F$5:$F$23,Lookup_Tables!$E$5:$E$23,"")</f>
        <v>Electronics</v>
      </c>
      <c r="I281" t="s">
        <v>40</v>
      </c>
      <c r="J281" s="11">
        <v>10</v>
      </c>
      <c r="K281" s="1">
        <f>_xlfn.XLOOKUP(tblSales[[#This Row],[Product]],Lookup_Tables!$F$5:$F$23,Lookup_Tables!$G$5:$G$23,"")</f>
        <v>850</v>
      </c>
      <c r="L281" s="12">
        <f>_xlfn.XLOOKUP(tblSales[[#This Row],[Customer Type]],Lookup_Tables!$B$19:$B$21,Lookup_Tables!$C$19:$C$21,0)</f>
        <v>0</v>
      </c>
      <c r="M281" t="s">
        <v>33</v>
      </c>
      <c r="N281" s="11" t="str">
        <f>"Q"&amp;ROUNDUP(MONTH(tblSales[[#This Row],[Date]])/3,0)</f>
        <v>Q1</v>
      </c>
      <c r="O281" s="11">
        <f>YEAR(tblSales[[#This Row],[Date]])</f>
        <v>2026</v>
      </c>
      <c r="P281" s="1">
        <f>tblSales[[#This Row],[Quantity]]*tblSales[[#This Row],[Unit Price]]</f>
        <v>8500</v>
      </c>
      <c r="Q281" s="1">
        <f>tblSales[[#This Row],[Gross Sales]]*tblSales[[#This Row],[Discount%]]</f>
        <v>0</v>
      </c>
      <c r="R281" s="1">
        <f>tblSales[[#This Row],[Gross Sales]]-tblSales[[#This Row],[Discount Amount]]</f>
        <v>8500</v>
      </c>
    </row>
    <row r="282" spans="1:18" x14ac:dyDescent="0.35">
      <c r="A282" t="str">
        <f t="shared" si="4"/>
        <v>ORD-2026-0281</v>
      </c>
      <c r="B282" s="2">
        <v>46058</v>
      </c>
      <c r="C282" t="str">
        <f>TEXT(tblSales[[#This Row],[Date]],"mmmm")</f>
        <v>February</v>
      </c>
      <c r="D282" t="s">
        <v>28</v>
      </c>
      <c r="E282" t="str">
        <f>_xlfn.XLOOKUP(tblSales[[#This Row],[Saleperson]],Lookup_Tables!$B$5:$B$16,Lookup_Tables!$C$5:$C$16)</f>
        <v>South</v>
      </c>
      <c r="F282" s="5" t="s">
        <v>88</v>
      </c>
      <c r="G282" t="str">
        <f>_xlfn.XLOOKUP(tblSales[[#This Row],[Customer]],Lookup_Tables!$I$5:$I$34,Lookup_Tables!$J$5:$J$34)</f>
        <v>Corporate</v>
      </c>
      <c r="H282" t="str">
        <f>_xlfn.XLOOKUP(tblSales[[#This Row],[Product]],Lookup_Tables!$F$5:$F$23,Lookup_Tables!$E$5:$E$23,"")</f>
        <v>Office Supplies</v>
      </c>
      <c r="I282" t="s">
        <v>53</v>
      </c>
      <c r="J282" s="11">
        <v>7</v>
      </c>
      <c r="K282" s="1">
        <f>_xlfn.XLOOKUP(tblSales[[#This Row],[Product]],Lookup_Tables!$F$5:$F$23,Lookup_Tables!$G$5:$G$23,"")</f>
        <v>32</v>
      </c>
      <c r="L282" s="6">
        <f>_xlfn.XLOOKUP(tblSales[[#This Row],[Customer Type]],Lookup_Tables!$B$19:$B$21,Lookup_Tables!$C$19:$C$21,0)</f>
        <v>0.1</v>
      </c>
      <c r="M282" t="s">
        <v>32</v>
      </c>
      <c r="N282" s="11" t="str">
        <f>"Q"&amp;ROUNDUP(MONTH(tblSales[[#This Row],[Date]])/3,0)</f>
        <v>Q1</v>
      </c>
      <c r="O282" s="11">
        <f>YEAR(tblSales[[#This Row],[Date]])</f>
        <v>2026</v>
      </c>
      <c r="P282" s="1">
        <f>tblSales[[#This Row],[Quantity]]*tblSales[[#This Row],[Unit Price]]</f>
        <v>224</v>
      </c>
      <c r="Q282" s="1">
        <f>tblSales[[#This Row],[Gross Sales]]*tblSales[[#This Row],[Discount%]]</f>
        <v>22.400000000000002</v>
      </c>
      <c r="R282" s="1">
        <f>tblSales[[#This Row],[Gross Sales]]-tblSales[[#This Row],[Discount Amount]]</f>
        <v>201.6</v>
      </c>
    </row>
    <row r="283" spans="1:18" x14ac:dyDescent="0.35">
      <c r="A283" t="str">
        <f t="shared" si="4"/>
        <v>ORD-2026-0282</v>
      </c>
      <c r="B283" s="2">
        <v>46058</v>
      </c>
      <c r="C283" t="str">
        <f>TEXT(tblSales[[#This Row],[Date]],"mmmm")</f>
        <v>February</v>
      </c>
      <c r="D283" t="s">
        <v>27</v>
      </c>
      <c r="E283" t="str">
        <f>_xlfn.XLOOKUP(tblSales[[#This Row],[Saleperson]],Lookup_Tables!$B$5:$B$16,Lookup_Tables!$C$5:$C$16)</f>
        <v>East</v>
      </c>
      <c r="F283" s="5" t="s">
        <v>70</v>
      </c>
      <c r="G283" t="str">
        <f>_xlfn.XLOOKUP(tblSales[[#This Row],[Customer]],Lookup_Tables!$I$5:$I$34,Lookup_Tables!$J$5:$J$34)</f>
        <v>Retail</v>
      </c>
      <c r="H283" t="str">
        <f>_xlfn.XLOOKUP(tblSales[[#This Row],[Product]],Lookup_Tables!$F$5:$F$23,Lookup_Tables!$E$5:$E$23,"")</f>
        <v>Office Supplies</v>
      </c>
      <c r="I283" t="s">
        <v>51</v>
      </c>
      <c r="J283" s="11">
        <v>8</v>
      </c>
      <c r="K283" s="1">
        <f>_xlfn.XLOOKUP(tblSales[[#This Row],[Product]],Lookup_Tables!$F$5:$F$23,Lookup_Tables!$G$5:$G$23,"")</f>
        <v>90</v>
      </c>
      <c r="L283" s="12">
        <f>_xlfn.XLOOKUP(tblSales[[#This Row],[Customer Type]],Lookup_Tables!$B$19:$B$21,Lookup_Tables!$C$19:$C$21,0)</f>
        <v>0</v>
      </c>
      <c r="M283" t="s">
        <v>33</v>
      </c>
      <c r="N283" s="11" t="str">
        <f>"Q"&amp;ROUNDUP(MONTH(tblSales[[#This Row],[Date]])/3,0)</f>
        <v>Q1</v>
      </c>
      <c r="O283" s="11">
        <f>YEAR(tblSales[[#This Row],[Date]])</f>
        <v>2026</v>
      </c>
      <c r="P283" s="1">
        <f>tblSales[[#This Row],[Quantity]]*tblSales[[#This Row],[Unit Price]]</f>
        <v>720</v>
      </c>
      <c r="Q283" s="1">
        <f>tblSales[[#This Row],[Gross Sales]]*tblSales[[#This Row],[Discount%]]</f>
        <v>0</v>
      </c>
      <c r="R283" s="1">
        <f>tblSales[[#This Row],[Gross Sales]]-tblSales[[#This Row],[Discount Amount]]</f>
        <v>720</v>
      </c>
    </row>
    <row r="284" spans="1:18" x14ac:dyDescent="0.35">
      <c r="A284" t="str">
        <f t="shared" si="4"/>
        <v>ORD-2026-0283</v>
      </c>
      <c r="B284" s="2">
        <v>46058</v>
      </c>
      <c r="C284" t="str">
        <f>TEXT(tblSales[[#This Row],[Date]],"mmmm")</f>
        <v>February</v>
      </c>
      <c r="D284" t="s">
        <v>28</v>
      </c>
      <c r="E284" t="str">
        <f>_xlfn.XLOOKUP(tblSales[[#This Row],[Saleperson]],Lookup_Tables!$B$5:$B$16,Lookup_Tables!$C$5:$C$16)</f>
        <v>South</v>
      </c>
      <c r="F284" s="5" t="s">
        <v>88</v>
      </c>
      <c r="G284" t="str">
        <f>_xlfn.XLOOKUP(tblSales[[#This Row],[Customer]],Lookup_Tables!$I$5:$I$34,Lookup_Tables!$J$5:$J$34)</f>
        <v>Corporate</v>
      </c>
      <c r="H284" t="str">
        <f>_xlfn.XLOOKUP(tblSales[[#This Row],[Product]],Lookup_Tables!$F$5:$F$23,Lookup_Tables!$E$5:$E$23,"")</f>
        <v>Office Supplies</v>
      </c>
      <c r="I284" t="s">
        <v>50</v>
      </c>
      <c r="J284" s="11">
        <v>8</v>
      </c>
      <c r="K284" s="1">
        <f>_xlfn.XLOOKUP(tblSales[[#This Row],[Product]],Lookup_Tables!$F$5:$F$23,Lookup_Tables!$G$5:$G$23,"")</f>
        <v>180</v>
      </c>
      <c r="L284" s="12">
        <f>_xlfn.XLOOKUP(tblSales[[#This Row],[Customer Type]],Lookup_Tables!$B$19:$B$21,Lookup_Tables!$C$19:$C$21,0)</f>
        <v>0.1</v>
      </c>
      <c r="M284" t="s">
        <v>32</v>
      </c>
      <c r="N284" s="11" t="str">
        <f>"Q"&amp;ROUNDUP(MONTH(tblSales[[#This Row],[Date]])/3,0)</f>
        <v>Q1</v>
      </c>
      <c r="O284" s="11">
        <f>YEAR(tblSales[[#This Row],[Date]])</f>
        <v>2026</v>
      </c>
      <c r="P284" s="1">
        <f>tblSales[[#This Row],[Quantity]]*tblSales[[#This Row],[Unit Price]]</f>
        <v>1440</v>
      </c>
      <c r="Q284" s="1">
        <f>tblSales[[#This Row],[Gross Sales]]*tblSales[[#This Row],[Discount%]]</f>
        <v>144</v>
      </c>
      <c r="R284" s="1">
        <f>tblSales[[#This Row],[Gross Sales]]-tblSales[[#This Row],[Discount Amount]]</f>
        <v>1296</v>
      </c>
    </row>
    <row r="285" spans="1:18" x14ac:dyDescent="0.35">
      <c r="A285" t="str">
        <f t="shared" si="4"/>
        <v>ORD-2026-0284</v>
      </c>
      <c r="B285" s="2">
        <v>46059</v>
      </c>
      <c r="C285" t="str">
        <f>TEXT(tblSales[[#This Row],[Date]],"mmmm")</f>
        <v>February</v>
      </c>
      <c r="D285" t="s">
        <v>26</v>
      </c>
      <c r="E285" t="str">
        <f>_xlfn.XLOOKUP(tblSales[[#This Row],[Saleperson]],Lookup_Tables!$B$5:$B$16,Lookup_Tables!$C$5:$C$16)</f>
        <v>North</v>
      </c>
      <c r="F285" s="5" t="s">
        <v>64</v>
      </c>
      <c r="G285" t="str">
        <f>_xlfn.XLOOKUP(tblSales[[#This Row],[Customer]],Lookup_Tables!$I$5:$I$34,Lookup_Tables!$J$5:$J$34)</f>
        <v>Retail</v>
      </c>
      <c r="H285" t="str">
        <f>_xlfn.XLOOKUP(tblSales[[#This Row],[Product]],Lookup_Tables!$F$5:$F$23,Lookup_Tables!$E$5:$E$23,"")</f>
        <v>Electronics</v>
      </c>
      <c r="I285" t="s">
        <v>39</v>
      </c>
      <c r="J285" s="11">
        <v>10</v>
      </c>
      <c r="K285" s="1">
        <f>_xlfn.XLOOKUP(tblSales[[#This Row],[Product]],Lookup_Tables!$F$5:$F$23,Lookup_Tables!$G$5:$G$23,"")</f>
        <v>9500</v>
      </c>
      <c r="L285" s="12">
        <f>_xlfn.XLOOKUP(tblSales[[#This Row],[Customer Type]],Lookup_Tables!$B$19:$B$21,Lookup_Tables!$C$19:$C$21,0)</f>
        <v>0</v>
      </c>
      <c r="M285" t="s">
        <v>35</v>
      </c>
      <c r="N285" s="11" t="str">
        <f>"Q"&amp;ROUNDUP(MONTH(tblSales[[#This Row],[Date]])/3,0)</f>
        <v>Q1</v>
      </c>
      <c r="O285" s="11">
        <f>YEAR(tblSales[[#This Row],[Date]])</f>
        <v>2026</v>
      </c>
      <c r="P285" s="1">
        <f>tblSales[[#This Row],[Quantity]]*tblSales[[#This Row],[Unit Price]]</f>
        <v>95000</v>
      </c>
      <c r="Q285" s="1">
        <f>tblSales[[#This Row],[Gross Sales]]*tblSales[[#This Row],[Discount%]]</f>
        <v>0</v>
      </c>
      <c r="R285" s="1">
        <f>tblSales[[#This Row],[Gross Sales]]-tblSales[[#This Row],[Discount Amount]]</f>
        <v>95000</v>
      </c>
    </row>
    <row r="286" spans="1:18" x14ac:dyDescent="0.35">
      <c r="A286" t="str">
        <f t="shared" si="4"/>
        <v>ORD-2026-0285</v>
      </c>
      <c r="B286" s="2">
        <v>46059</v>
      </c>
      <c r="C286" t="str">
        <f>TEXT(tblSales[[#This Row],[Date]],"mmmm")</f>
        <v>February</v>
      </c>
      <c r="D286" t="s">
        <v>20</v>
      </c>
      <c r="E286" t="str">
        <f>_xlfn.XLOOKUP(tblSales[[#This Row],[Saleperson]],Lookup_Tables!$B$5:$B$16,Lookup_Tables!$C$5:$C$16)</f>
        <v>East</v>
      </c>
      <c r="F286" s="5" t="s">
        <v>87</v>
      </c>
      <c r="G286" t="str">
        <f>_xlfn.XLOOKUP(tblSales[[#This Row],[Customer]],Lookup_Tables!$I$5:$I$34,Lookup_Tables!$J$5:$J$34)</f>
        <v>Corporate</v>
      </c>
      <c r="H286" t="str">
        <f>_xlfn.XLOOKUP(tblSales[[#This Row],[Product]],Lookup_Tables!$F$5:$F$23,Lookup_Tables!$E$5:$E$23,"")</f>
        <v>Electronics</v>
      </c>
      <c r="I286" t="s">
        <v>39</v>
      </c>
      <c r="J286" s="11">
        <v>6</v>
      </c>
      <c r="K286" s="1">
        <f>_xlfn.XLOOKUP(tblSales[[#This Row],[Product]],Lookup_Tables!$F$5:$F$23,Lookup_Tables!$G$5:$G$23,"")</f>
        <v>9500</v>
      </c>
      <c r="L286" s="12">
        <f>_xlfn.XLOOKUP(tblSales[[#This Row],[Customer Type]],Lookup_Tables!$B$19:$B$21,Lookup_Tables!$C$19:$C$21,0)</f>
        <v>0.1</v>
      </c>
      <c r="M286" t="s">
        <v>33</v>
      </c>
      <c r="N286" s="11" t="str">
        <f>"Q"&amp;ROUNDUP(MONTH(tblSales[[#This Row],[Date]])/3,0)</f>
        <v>Q1</v>
      </c>
      <c r="O286" s="11">
        <f>YEAR(tblSales[[#This Row],[Date]])</f>
        <v>2026</v>
      </c>
      <c r="P286" s="1">
        <f>tblSales[[#This Row],[Quantity]]*tblSales[[#This Row],[Unit Price]]</f>
        <v>57000</v>
      </c>
      <c r="Q286" s="1">
        <f>tblSales[[#This Row],[Gross Sales]]*tblSales[[#This Row],[Discount%]]</f>
        <v>5700</v>
      </c>
      <c r="R286" s="1">
        <f>tblSales[[#This Row],[Gross Sales]]-tblSales[[#This Row],[Discount Amount]]</f>
        <v>51300</v>
      </c>
    </row>
    <row r="287" spans="1:18" x14ac:dyDescent="0.35">
      <c r="A287" t="str">
        <f t="shared" si="4"/>
        <v>ORD-2026-0286</v>
      </c>
      <c r="B287" s="2">
        <v>46060</v>
      </c>
      <c r="C287" t="str">
        <f>TEXT(tblSales[[#This Row],[Date]],"mmmm")</f>
        <v>February</v>
      </c>
      <c r="D287" t="s">
        <v>25</v>
      </c>
      <c r="E287" t="str">
        <f>_xlfn.XLOOKUP(tblSales[[#This Row],[Saleperson]],Lookup_Tables!$B$5:$B$16,Lookup_Tables!$C$5:$C$16)</f>
        <v>West</v>
      </c>
      <c r="F287" t="s">
        <v>65</v>
      </c>
      <c r="G287" t="str">
        <f>_xlfn.XLOOKUP(tblSales[[#This Row],[Customer]],Lookup_Tables!$I$5:$I$34,Lookup_Tables!$J$5:$J$34)</f>
        <v>Retail</v>
      </c>
      <c r="H287" t="str">
        <f>_xlfn.XLOOKUP(tblSales[[#This Row],[Product]],Lookup_Tables!$F$5:$F$23,Lookup_Tables!$E$5:$E$23,"")</f>
        <v>Electronics</v>
      </c>
      <c r="I287" t="s">
        <v>37</v>
      </c>
      <c r="J287" s="11">
        <v>9</v>
      </c>
      <c r="K287" s="1">
        <f>_xlfn.XLOOKUP(tblSales[[#This Row],[Product]],Lookup_Tables!$F$5:$F$23,Lookup_Tables!$G$5:$G$23,"")</f>
        <v>20000</v>
      </c>
      <c r="L287" s="12">
        <f>_xlfn.XLOOKUP(tblSales[[#This Row],[Customer Type]],Lookup_Tables!$B$19:$B$21,Lookup_Tables!$C$19:$C$21,0)</f>
        <v>0</v>
      </c>
      <c r="M287" t="s">
        <v>35</v>
      </c>
      <c r="N287" s="11" t="str">
        <f>"Q"&amp;ROUNDUP(MONTH(tblSales[[#This Row],[Date]])/3,0)</f>
        <v>Q1</v>
      </c>
      <c r="O287" s="11">
        <f>YEAR(tblSales[[#This Row],[Date]])</f>
        <v>2026</v>
      </c>
      <c r="P287" s="1">
        <f>tblSales[[#This Row],[Quantity]]*tblSales[[#This Row],[Unit Price]]</f>
        <v>180000</v>
      </c>
      <c r="Q287" s="1">
        <f>tblSales[[#This Row],[Gross Sales]]*tblSales[[#This Row],[Discount%]]</f>
        <v>0</v>
      </c>
      <c r="R287" s="1">
        <f>tblSales[[#This Row],[Gross Sales]]-tblSales[[#This Row],[Discount Amount]]</f>
        <v>180000</v>
      </c>
    </row>
    <row r="288" spans="1:18" x14ac:dyDescent="0.35">
      <c r="A288" t="str">
        <f t="shared" si="4"/>
        <v>ORD-2026-0287</v>
      </c>
      <c r="B288" s="2">
        <v>46083</v>
      </c>
      <c r="C288" t="str">
        <f>TEXT(tblSales[[#This Row],[Date]],"mmmm")</f>
        <v>March</v>
      </c>
      <c r="D288" t="s">
        <v>21</v>
      </c>
      <c r="E288" t="str">
        <f>_xlfn.XLOOKUP(tblSales[[#This Row],[Saleperson]],Lookup_Tables!$B$5:$B$16,Lookup_Tables!$C$5:$C$16)</f>
        <v>South</v>
      </c>
      <c r="F288" t="s">
        <v>63</v>
      </c>
      <c r="G288" t="str">
        <f>_xlfn.XLOOKUP(tblSales[[#This Row],[Customer]],Lookup_Tables!$I$5:$I$34,Lookup_Tables!$J$5:$J$34)</f>
        <v>Retail</v>
      </c>
      <c r="H288" t="str">
        <f>_xlfn.XLOOKUP(tblSales[[#This Row],[Product]],Lookup_Tables!$F$5:$F$23,Lookup_Tables!$E$5:$E$23,"")</f>
        <v>Office Supplies</v>
      </c>
      <c r="I288" t="s">
        <v>52</v>
      </c>
      <c r="J288" s="11">
        <v>1</v>
      </c>
      <c r="K288" s="1">
        <f>_xlfn.XLOOKUP(tblSales[[#This Row],[Product]],Lookup_Tables!$F$5:$F$23,Lookup_Tables!$G$5:$G$23,"")</f>
        <v>60</v>
      </c>
      <c r="L288" s="12">
        <f>_xlfn.XLOOKUP(tblSales[[#This Row],[Customer Type]],Lookup_Tables!$B$19:$B$21,Lookup_Tables!$C$19:$C$21,0)</f>
        <v>0</v>
      </c>
      <c r="M288" t="s">
        <v>32</v>
      </c>
      <c r="N288" s="11" t="str">
        <f>"Q"&amp;ROUNDUP(MONTH(tblSales[[#This Row],[Date]])/3,0)</f>
        <v>Q1</v>
      </c>
      <c r="O288" s="11">
        <f>YEAR(tblSales[[#This Row],[Date]])</f>
        <v>2026</v>
      </c>
      <c r="P288" s="1">
        <f>tblSales[[#This Row],[Quantity]]*tblSales[[#This Row],[Unit Price]]</f>
        <v>60</v>
      </c>
      <c r="Q288" s="1">
        <f>tblSales[[#This Row],[Gross Sales]]*tblSales[[#This Row],[Discount%]]</f>
        <v>0</v>
      </c>
      <c r="R288" s="1">
        <f>tblSales[[#This Row],[Gross Sales]]-tblSales[[#This Row],[Discount Amount]]</f>
        <v>60</v>
      </c>
    </row>
    <row r="289" spans="1:18" x14ac:dyDescent="0.35">
      <c r="A289" t="str">
        <f t="shared" si="4"/>
        <v>ORD-2026-0288</v>
      </c>
      <c r="B289" s="2">
        <v>46084</v>
      </c>
      <c r="C289" t="str">
        <f>TEXT(tblSales[[#This Row],[Date]],"mmmm")</f>
        <v>March</v>
      </c>
      <c r="D289" t="s">
        <v>24</v>
      </c>
      <c r="E289" t="str">
        <f>_xlfn.XLOOKUP(tblSales[[#This Row],[Saleperson]],Lookup_Tables!$B$5:$B$16,Lookup_Tables!$C$5:$C$16)</f>
        <v>South</v>
      </c>
      <c r="F289" s="5" t="s">
        <v>75</v>
      </c>
      <c r="G289" t="str">
        <f>_xlfn.XLOOKUP(tblSales[[#This Row],[Customer]],Lookup_Tables!$I$5:$I$34,Lookup_Tables!$J$5:$J$34)</f>
        <v>Corporate</v>
      </c>
      <c r="H289" t="str">
        <f>_xlfn.XLOOKUP(tblSales[[#This Row],[Product]],Lookup_Tables!$F$5:$F$23,Lookup_Tables!$E$5:$E$23,"")</f>
        <v>Electronics</v>
      </c>
      <c r="I289" t="s">
        <v>37</v>
      </c>
      <c r="J289" s="11">
        <v>5</v>
      </c>
      <c r="K289" s="1">
        <f>_xlfn.XLOOKUP(tblSales[[#This Row],[Product]],Lookup_Tables!$F$5:$F$23,Lookup_Tables!$G$5:$G$23,"")</f>
        <v>20000</v>
      </c>
      <c r="L289" s="12">
        <f>_xlfn.XLOOKUP(tblSales[[#This Row],[Customer Type]],Lookup_Tables!$B$19:$B$21,Lookup_Tables!$C$19:$C$21,0)</f>
        <v>0.1</v>
      </c>
      <c r="M289" t="s">
        <v>33</v>
      </c>
      <c r="N289" s="11" t="str">
        <f>"Q"&amp;ROUNDUP(MONTH(tblSales[[#This Row],[Date]])/3,0)</f>
        <v>Q1</v>
      </c>
      <c r="O289" s="11">
        <f>YEAR(tblSales[[#This Row],[Date]])</f>
        <v>2026</v>
      </c>
      <c r="P289" s="1">
        <f>tblSales[[#This Row],[Quantity]]*tblSales[[#This Row],[Unit Price]]</f>
        <v>100000</v>
      </c>
      <c r="Q289" s="1">
        <f>tblSales[[#This Row],[Gross Sales]]*tblSales[[#This Row],[Discount%]]</f>
        <v>10000</v>
      </c>
      <c r="R289" s="1">
        <f>tblSales[[#This Row],[Gross Sales]]-tblSales[[#This Row],[Discount Amount]]</f>
        <v>90000</v>
      </c>
    </row>
    <row r="290" spans="1:18" x14ac:dyDescent="0.35">
      <c r="A290" t="str">
        <f t="shared" si="4"/>
        <v>ORD-2026-0289</v>
      </c>
      <c r="B290" s="2">
        <v>46085</v>
      </c>
      <c r="C290" t="str">
        <f>TEXT(tblSales[[#This Row],[Date]],"mmmm")</f>
        <v>March</v>
      </c>
      <c r="D290" t="s">
        <v>22</v>
      </c>
      <c r="E290" t="str">
        <f>_xlfn.XLOOKUP(tblSales[[#This Row],[Saleperson]],Lookup_Tables!$B$5:$B$16,Lookup_Tables!$C$5:$C$16)</f>
        <v>North</v>
      </c>
      <c r="F290" t="s">
        <v>62</v>
      </c>
      <c r="G290" t="str">
        <f>_xlfn.XLOOKUP(tblSales[[#This Row],[Customer]],Lookup_Tables!$I$5:$I$34,Lookup_Tables!$J$5:$J$34)</f>
        <v>Corporate</v>
      </c>
      <c r="H290" t="str">
        <f>_xlfn.XLOOKUP(tblSales[[#This Row],[Product]],Lookup_Tables!$F$5:$F$23,Lookup_Tables!$E$5:$E$23,"")</f>
        <v>Office Supplies</v>
      </c>
      <c r="I290" t="s">
        <v>56</v>
      </c>
      <c r="J290" s="11">
        <v>8</v>
      </c>
      <c r="K290" s="1">
        <f>_xlfn.XLOOKUP(tblSales[[#This Row],[Product]],Lookup_Tables!$F$5:$F$23,Lookup_Tables!$G$5:$G$23,"")</f>
        <v>190</v>
      </c>
      <c r="L290" s="12">
        <f>_xlfn.XLOOKUP(tblSales[[#This Row],[Customer Type]],Lookup_Tables!$B$19:$B$21,Lookup_Tables!$C$19:$C$21,0)</f>
        <v>0.1</v>
      </c>
      <c r="M290" s="11" t="s">
        <v>34</v>
      </c>
      <c r="N290" s="11" t="str">
        <f>"Q"&amp;ROUNDUP(MONTH(tblSales[[#This Row],[Date]])/3,0)</f>
        <v>Q1</v>
      </c>
      <c r="O290" s="11">
        <f>YEAR(tblSales[[#This Row],[Date]])</f>
        <v>2026</v>
      </c>
      <c r="P290" s="1">
        <f>tblSales[[#This Row],[Quantity]]*tblSales[[#This Row],[Unit Price]]</f>
        <v>1520</v>
      </c>
      <c r="Q290" s="1">
        <f>tblSales[[#This Row],[Gross Sales]]*tblSales[[#This Row],[Discount%]]</f>
        <v>152</v>
      </c>
      <c r="R290" s="1">
        <f>tblSales[[#This Row],[Gross Sales]]-tblSales[[#This Row],[Discount Amount]]</f>
        <v>1368</v>
      </c>
    </row>
    <row r="291" spans="1:18" x14ac:dyDescent="0.35">
      <c r="A291" t="str">
        <f t="shared" si="4"/>
        <v>ORD-2026-0290</v>
      </c>
      <c r="B291" s="2">
        <v>46086</v>
      </c>
      <c r="C291" t="str">
        <f>TEXT(tblSales[[#This Row],[Date]],"mmmm")</f>
        <v>March</v>
      </c>
      <c r="D291" t="s">
        <v>17</v>
      </c>
      <c r="E291" t="str">
        <f>_xlfn.XLOOKUP(tblSales[[#This Row],[Saleperson]],Lookup_Tables!$B$5:$B$16,Lookup_Tables!$C$5:$C$16)</f>
        <v>North</v>
      </c>
      <c r="F291" t="s">
        <v>63</v>
      </c>
      <c r="G291" t="str">
        <f>_xlfn.XLOOKUP(tblSales[[#This Row],[Customer]],Lookup_Tables!$I$5:$I$34,Lookup_Tables!$J$5:$J$34)</f>
        <v>Retail</v>
      </c>
      <c r="H291" t="str">
        <f>_xlfn.XLOOKUP(tblSales[[#This Row],[Product]],Lookup_Tables!$F$5:$F$23,Lookup_Tables!$E$5:$E$23,"")</f>
        <v>Office Supplies</v>
      </c>
      <c r="I291" t="s">
        <v>53</v>
      </c>
      <c r="J291" s="11">
        <v>4</v>
      </c>
      <c r="K291" s="1">
        <f>_xlfn.XLOOKUP(tblSales[[#This Row],[Product]],Lookup_Tables!$F$5:$F$23,Lookup_Tables!$G$5:$G$23,"")</f>
        <v>32</v>
      </c>
      <c r="L291" s="12">
        <f>_xlfn.XLOOKUP(tblSales[[#This Row],[Customer Type]],Lookup_Tables!$B$19:$B$21,Lookup_Tables!$C$19:$C$21,0)</f>
        <v>0</v>
      </c>
      <c r="M291" s="11" t="s">
        <v>34</v>
      </c>
      <c r="N291" s="11" t="str">
        <f>"Q"&amp;ROUNDUP(MONTH(tblSales[[#This Row],[Date]])/3,0)</f>
        <v>Q1</v>
      </c>
      <c r="O291" s="11">
        <f>YEAR(tblSales[[#This Row],[Date]])</f>
        <v>2026</v>
      </c>
      <c r="P291" s="1">
        <f>tblSales[[#This Row],[Quantity]]*tblSales[[#This Row],[Unit Price]]</f>
        <v>128</v>
      </c>
      <c r="Q291" s="1">
        <f>tblSales[[#This Row],[Gross Sales]]*tblSales[[#This Row],[Discount%]]</f>
        <v>0</v>
      </c>
      <c r="R291" s="1">
        <f>tblSales[[#This Row],[Gross Sales]]-tblSales[[#This Row],[Discount Amount]]</f>
        <v>128</v>
      </c>
    </row>
    <row r="292" spans="1:18" x14ac:dyDescent="0.35">
      <c r="A292" t="str">
        <f t="shared" si="4"/>
        <v>ORD-2026-0291</v>
      </c>
      <c r="B292" s="2">
        <v>46087</v>
      </c>
      <c r="C292" t="str">
        <f>TEXT(tblSales[[#This Row],[Date]],"mmmm")</f>
        <v>March</v>
      </c>
      <c r="D292" t="s">
        <v>27</v>
      </c>
      <c r="E292" t="str">
        <f>_xlfn.XLOOKUP(tblSales[[#This Row],[Saleperson]],Lookup_Tables!$B$5:$B$16,Lookup_Tables!$C$5:$C$16)</f>
        <v>East</v>
      </c>
      <c r="F292" s="5" t="s">
        <v>70</v>
      </c>
      <c r="G292" t="str">
        <f>_xlfn.XLOOKUP(tblSales[[#This Row],[Customer]],Lookup_Tables!$I$5:$I$34,Lookup_Tables!$J$5:$J$34)</f>
        <v>Retail</v>
      </c>
      <c r="H292" t="str">
        <f>_xlfn.XLOOKUP(tblSales[[#This Row],[Product]],Lookup_Tables!$F$5:$F$23,Lookup_Tables!$E$5:$E$23,"")</f>
        <v>Electronics</v>
      </c>
      <c r="I292" t="s">
        <v>40</v>
      </c>
      <c r="J292" s="11">
        <v>5</v>
      </c>
      <c r="K292" s="1">
        <f>_xlfn.XLOOKUP(tblSales[[#This Row],[Product]],Lookup_Tables!$F$5:$F$23,Lookup_Tables!$G$5:$G$23,"")</f>
        <v>850</v>
      </c>
      <c r="L292" s="12">
        <f>_xlfn.XLOOKUP(tblSales[[#This Row],[Customer Type]],Lookup_Tables!$B$19:$B$21,Lookup_Tables!$C$19:$C$21,0)</f>
        <v>0</v>
      </c>
      <c r="M292" s="11" t="s">
        <v>32</v>
      </c>
      <c r="N292" s="11" t="str">
        <f>"Q"&amp;ROUNDUP(MONTH(tblSales[[#This Row],[Date]])/3,0)</f>
        <v>Q1</v>
      </c>
      <c r="O292" s="11">
        <f>YEAR(tblSales[[#This Row],[Date]])</f>
        <v>2026</v>
      </c>
      <c r="P292" s="1">
        <f>tblSales[[#This Row],[Quantity]]*tblSales[[#This Row],[Unit Price]]</f>
        <v>4250</v>
      </c>
      <c r="Q292" s="1">
        <f>tblSales[[#This Row],[Gross Sales]]*tblSales[[#This Row],[Discount%]]</f>
        <v>0</v>
      </c>
      <c r="R292" s="1">
        <f>tblSales[[#This Row],[Gross Sales]]-tblSales[[#This Row],[Discount Amount]]</f>
        <v>4250</v>
      </c>
    </row>
    <row r="293" spans="1:18" x14ac:dyDescent="0.35">
      <c r="A293" t="str">
        <f t="shared" si="4"/>
        <v>ORD-2026-0292</v>
      </c>
      <c r="B293" s="2">
        <v>46088</v>
      </c>
      <c r="C293" t="str">
        <f>TEXT(tblSales[[#This Row],[Date]],"mmmm")</f>
        <v>March</v>
      </c>
      <c r="D293" t="s">
        <v>23</v>
      </c>
      <c r="E293" t="str">
        <f>_xlfn.XLOOKUP(tblSales[[#This Row],[Saleperson]],Lookup_Tables!$B$5:$B$16,Lookup_Tables!$C$5:$C$16)</f>
        <v>West</v>
      </c>
      <c r="F293" s="5" t="s">
        <v>64</v>
      </c>
      <c r="G293" t="str">
        <f>_xlfn.XLOOKUP(tblSales[[#This Row],[Customer]],Lookup_Tables!$I$5:$I$34,Lookup_Tables!$J$5:$J$34)</f>
        <v>Retail</v>
      </c>
      <c r="H293" t="str">
        <f>_xlfn.XLOOKUP(tblSales[[#This Row],[Product]],Lookup_Tables!$F$5:$F$23,Lookup_Tables!$E$5:$E$23,"")</f>
        <v>Office Supplies</v>
      </c>
      <c r="I293" t="s">
        <v>57</v>
      </c>
      <c r="J293" s="11">
        <v>5</v>
      </c>
      <c r="K293" s="1">
        <f>_xlfn.XLOOKUP(tblSales[[#This Row],[Product]],Lookup_Tables!$F$5:$F$23,Lookup_Tables!$G$5:$G$23,"")</f>
        <v>5000</v>
      </c>
      <c r="L293" s="12">
        <f>_xlfn.XLOOKUP(tblSales[[#This Row],[Customer Type]],Lookup_Tables!$B$19:$B$21,Lookup_Tables!$C$19:$C$21,0)</f>
        <v>0</v>
      </c>
      <c r="M293" s="11" t="s">
        <v>35</v>
      </c>
      <c r="N293" s="11" t="str">
        <f>"Q"&amp;ROUNDUP(MONTH(tblSales[[#This Row],[Date]])/3,0)</f>
        <v>Q1</v>
      </c>
      <c r="O293" s="11">
        <f>YEAR(tblSales[[#This Row],[Date]])</f>
        <v>2026</v>
      </c>
      <c r="P293" s="1">
        <f>tblSales[[#This Row],[Quantity]]*tblSales[[#This Row],[Unit Price]]</f>
        <v>25000</v>
      </c>
      <c r="Q293" s="1">
        <f>tblSales[[#This Row],[Gross Sales]]*tblSales[[#This Row],[Discount%]]</f>
        <v>0</v>
      </c>
      <c r="R293" s="1">
        <f>tblSales[[#This Row],[Gross Sales]]-tblSales[[#This Row],[Discount Amount]]</f>
        <v>25000</v>
      </c>
    </row>
    <row r="294" spans="1:18" x14ac:dyDescent="0.35">
      <c r="A294" t="str">
        <f t="shared" si="4"/>
        <v>ORD-2026-0293</v>
      </c>
      <c r="B294" s="2">
        <v>46089</v>
      </c>
      <c r="C294" t="str">
        <f>TEXT(tblSales[[#This Row],[Date]],"mmmm")</f>
        <v>March</v>
      </c>
      <c r="D294" t="s">
        <v>28</v>
      </c>
      <c r="E294" t="str">
        <f>_xlfn.XLOOKUP(tblSales[[#This Row],[Saleperson]],Lookup_Tables!$B$5:$B$16,Lookup_Tables!$C$5:$C$16)</f>
        <v>South</v>
      </c>
      <c r="F294" t="s">
        <v>62</v>
      </c>
      <c r="G294" t="str">
        <f>_xlfn.XLOOKUP(tblSales[[#This Row],[Customer]],Lookup_Tables!$I$5:$I$34,Lookup_Tables!$J$5:$J$34)</f>
        <v>Corporate</v>
      </c>
      <c r="H294" t="str">
        <f>_xlfn.XLOOKUP(tblSales[[#This Row],[Product]],Lookup_Tables!$F$5:$F$23,Lookup_Tables!$E$5:$E$23,"")</f>
        <v>Office Supplies</v>
      </c>
      <c r="I294" t="s">
        <v>53</v>
      </c>
      <c r="J294" s="11">
        <v>8</v>
      </c>
      <c r="K294" s="1">
        <f>_xlfn.XLOOKUP(tblSales[[#This Row],[Product]],Lookup_Tables!$F$5:$F$23,Lookup_Tables!$G$5:$G$23,"")</f>
        <v>32</v>
      </c>
      <c r="L294" s="12">
        <f>_xlfn.XLOOKUP(tblSales[[#This Row],[Customer Type]],Lookup_Tables!$B$19:$B$21,Lookup_Tables!$C$19:$C$21,0)</f>
        <v>0.1</v>
      </c>
      <c r="M294" s="11" t="s">
        <v>32</v>
      </c>
      <c r="N294" s="11" t="str">
        <f>"Q"&amp;ROUNDUP(MONTH(tblSales[[#This Row],[Date]])/3,0)</f>
        <v>Q1</v>
      </c>
      <c r="O294" s="11">
        <f>YEAR(tblSales[[#This Row],[Date]])</f>
        <v>2026</v>
      </c>
      <c r="P294" s="1">
        <f>tblSales[[#This Row],[Quantity]]*tblSales[[#This Row],[Unit Price]]</f>
        <v>256</v>
      </c>
      <c r="Q294" s="1">
        <f>tblSales[[#This Row],[Gross Sales]]*tblSales[[#This Row],[Discount%]]</f>
        <v>25.6</v>
      </c>
      <c r="R294" s="1">
        <f>tblSales[[#This Row],[Gross Sales]]-tblSales[[#This Row],[Discount Amount]]</f>
        <v>230.4</v>
      </c>
    </row>
    <row r="295" spans="1:18" x14ac:dyDescent="0.35">
      <c r="A295" t="str">
        <f t="shared" si="4"/>
        <v>ORD-2026-0294</v>
      </c>
      <c r="B295" s="2">
        <v>46090</v>
      </c>
      <c r="C295" t="str">
        <f>TEXT(tblSales[[#This Row],[Date]],"mmmm")</f>
        <v>March</v>
      </c>
      <c r="D295" t="s">
        <v>28</v>
      </c>
      <c r="E295" t="str">
        <f>_xlfn.XLOOKUP(tblSales[[#This Row],[Saleperson]],Lookup_Tables!$B$5:$B$16,Lookup_Tables!$C$5:$C$16)</f>
        <v>South</v>
      </c>
      <c r="F295" s="5" t="s">
        <v>82</v>
      </c>
      <c r="G295" t="str">
        <f>_xlfn.XLOOKUP(tblSales[[#This Row],[Customer]],Lookup_Tables!$I$5:$I$34,Lookup_Tables!$J$5:$J$34)</f>
        <v>Retail</v>
      </c>
      <c r="H295" t="str">
        <f>_xlfn.XLOOKUP(tblSales[[#This Row],[Product]],Lookup_Tables!$F$5:$F$23,Lookup_Tables!$E$5:$E$23,"")</f>
        <v>Office Supplies</v>
      </c>
      <c r="I295" t="s">
        <v>53</v>
      </c>
      <c r="J295" s="11">
        <v>3</v>
      </c>
      <c r="K295" s="1">
        <f>_xlfn.XLOOKUP(tblSales[[#This Row],[Product]],Lookup_Tables!$F$5:$F$23,Lookup_Tables!$G$5:$G$23,"")</f>
        <v>32</v>
      </c>
      <c r="L295" s="12">
        <f>_xlfn.XLOOKUP(tblSales[[#This Row],[Customer Type]],Lookup_Tables!$B$19:$B$21,Lookup_Tables!$C$19:$C$21,0)</f>
        <v>0</v>
      </c>
      <c r="M295" s="11" t="s">
        <v>35</v>
      </c>
      <c r="N295" s="11" t="str">
        <f>"Q"&amp;ROUNDUP(MONTH(tblSales[[#This Row],[Date]])/3,0)</f>
        <v>Q1</v>
      </c>
      <c r="O295" s="11">
        <f>YEAR(tblSales[[#This Row],[Date]])</f>
        <v>2026</v>
      </c>
      <c r="P295" s="1">
        <f>tblSales[[#This Row],[Quantity]]*tblSales[[#This Row],[Unit Price]]</f>
        <v>96</v>
      </c>
      <c r="Q295" s="1">
        <f>tblSales[[#This Row],[Gross Sales]]*tblSales[[#This Row],[Discount%]]</f>
        <v>0</v>
      </c>
      <c r="R295" s="1">
        <f>tblSales[[#This Row],[Gross Sales]]-tblSales[[#This Row],[Discount Amount]]</f>
        <v>96</v>
      </c>
    </row>
    <row r="296" spans="1:18" x14ac:dyDescent="0.35">
      <c r="A296" t="str">
        <f t="shared" si="4"/>
        <v>ORD-2026-0295</v>
      </c>
      <c r="B296" s="2">
        <v>46091</v>
      </c>
      <c r="C296" t="str">
        <f>TEXT(tblSales[[#This Row],[Date]],"mmmm")</f>
        <v>March</v>
      </c>
      <c r="D296" t="s">
        <v>19</v>
      </c>
      <c r="E296" t="str">
        <f>_xlfn.XLOOKUP(tblSales[[#This Row],[Saleperson]],Lookup_Tables!$B$5:$B$16,Lookup_Tables!$C$5:$C$16)</f>
        <v>West</v>
      </c>
      <c r="F296" s="5" t="s">
        <v>72</v>
      </c>
      <c r="G296" t="str">
        <f>_xlfn.XLOOKUP(tblSales[[#This Row],[Customer]],Lookup_Tables!$I$5:$I$34,Lookup_Tables!$J$5:$J$34)</f>
        <v>Retail</v>
      </c>
      <c r="H296" t="str">
        <f>_xlfn.XLOOKUP(tblSales[[#This Row],[Product]],Lookup_Tables!$F$5:$F$23,Lookup_Tables!$E$5:$E$23,"")</f>
        <v>Furniture</v>
      </c>
      <c r="I296" t="s">
        <v>45</v>
      </c>
      <c r="J296" s="11">
        <v>3</v>
      </c>
      <c r="K296" s="1">
        <f>_xlfn.XLOOKUP(tblSales[[#This Row],[Product]],Lookup_Tables!$F$5:$F$23,Lookup_Tables!$G$5:$G$23,"")</f>
        <v>5200</v>
      </c>
      <c r="L296" s="12">
        <f>_xlfn.XLOOKUP(tblSales[[#This Row],[Customer Type]],Lookup_Tables!$B$19:$B$21,Lookup_Tables!$C$19:$C$21,0)</f>
        <v>0</v>
      </c>
      <c r="M296" s="11" t="s">
        <v>33</v>
      </c>
      <c r="N296" s="11" t="str">
        <f>"Q"&amp;ROUNDUP(MONTH(tblSales[[#This Row],[Date]])/3,0)</f>
        <v>Q1</v>
      </c>
      <c r="O296" s="11">
        <f>YEAR(tblSales[[#This Row],[Date]])</f>
        <v>2026</v>
      </c>
      <c r="P296" s="1">
        <f>tblSales[[#This Row],[Quantity]]*tblSales[[#This Row],[Unit Price]]</f>
        <v>15600</v>
      </c>
      <c r="Q296" s="1">
        <f>tblSales[[#This Row],[Gross Sales]]*tblSales[[#This Row],[Discount%]]</f>
        <v>0</v>
      </c>
      <c r="R296" s="1">
        <f>tblSales[[#This Row],[Gross Sales]]-tblSales[[#This Row],[Discount Amount]]</f>
        <v>15600</v>
      </c>
    </row>
    <row r="297" spans="1:18" x14ac:dyDescent="0.35">
      <c r="A297" t="str">
        <f t="shared" si="4"/>
        <v>ORD-2026-0296</v>
      </c>
      <c r="B297" s="2">
        <v>46092</v>
      </c>
      <c r="C297" t="str">
        <f>TEXT(tblSales[[#This Row],[Date]],"mmmm")</f>
        <v>March</v>
      </c>
      <c r="D297" t="s">
        <v>17</v>
      </c>
      <c r="E297" t="str">
        <f>_xlfn.XLOOKUP(tblSales[[#This Row],[Saleperson]],Lookup_Tables!$B$5:$B$16,Lookup_Tables!$C$5:$C$16)</f>
        <v>North</v>
      </c>
      <c r="F297" s="5" t="s">
        <v>86</v>
      </c>
      <c r="G297" t="str">
        <f>_xlfn.XLOOKUP(tblSales[[#This Row],[Customer]],Lookup_Tables!$I$5:$I$34,Lookup_Tables!$J$5:$J$34)</f>
        <v>Retail</v>
      </c>
      <c r="H297" t="str">
        <f>_xlfn.XLOOKUP(tblSales[[#This Row],[Product]],Lookup_Tables!$F$5:$F$23,Lookup_Tables!$E$5:$E$23,"")</f>
        <v>Electronics</v>
      </c>
      <c r="I297" t="s">
        <v>37</v>
      </c>
      <c r="J297" s="11">
        <v>6</v>
      </c>
      <c r="K297" s="1">
        <f>_xlfn.XLOOKUP(tblSales[[#This Row],[Product]],Lookup_Tables!$F$5:$F$23,Lookup_Tables!$G$5:$G$23,"")</f>
        <v>20000</v>
      </c>
      <c r="L297" s="12">
        <f>_xlfn.XLOOKUP(tblSales[[#This Row],[Customer Type]],Lookup_Tables!$B$19:$B$21,Lookup_Tables!$C$19:$C$21,0)</f>
        <v>0</v>
      </c>
      <c r="M297" s="11" t="s">
        <v>33</v>
      </c>
      <c r="N297" s="11" t="str">
        <f>"Q"&amp;ROUNDUP(MONTH(tblSales[[#This Row],[Date]])/3,0)</f>
        <v>Q1</v>
      </c>
      <c r="O297" s="11">
        <f>YEAR(tblSales[[#This Row],[Date]])</f>
        <v>2026</v>
      </c>
      <c r="P297" s="1">
        <f>tblSales[[#This Row],[Quantity]]*tblSales[[#This Row],[Unit Price]]</f>
        <v>120000</v>
      </c>
      <c r="Q297" s="1">
        <f>tblSales[[#This Row],[Gross Sales]]*tblSales[[#This Row],[Discount%]]</f>
        <v>0</v>
      </c>
      <c r="R297" s="1">
        <f>tblSales[[#This Row],[Gross Sales]]-tblSales[[#This Row],[Discount Amount]]</f>
        <v>120000</v>
      </c>
    </row>
    <row r="298" spans="1:18" x14ac:dyDescent="0.35">
      <c r="A298" t="str">
        <f t="shared" si="4"/>
        <v>ORD-2026-0297</v>
      </c>
      <c r="B298" s="2">
        <v>46093</v>
      </c>
      <c r="C298" t="str">
        <f>TEXT(tblSales[[#This Row],[Date]],"mmmm")</f>
        <v>March</v>
      </c>
      <c r="D298" t="s">
        <v>28</v>
      </c>
      <c r="E298" t="str">
        <f>_xlfn.XLOOKUP(tblSales[[#This Row],[Saleperson]],Lookup_Tables!$B$5:$B$16,Lookup_Tables!$C$5:$C$16)</f>
        <v>South</v>
      </c>
      <c r="F298" s="5" t="s">
        <v>64</v>
      </c>
      <c r="G298" t="str">
        <f>_xlfn.XLOOKUP(tblSales[[#This Row],[Customer]],Lookup_Tables!$I$5:$I$34,Lookup_Tables!$J$5:$J$34)</f>
        <v>Retail</v>
      </c>
      <c r="H298" t="str">
        <f>_xlfn.XLOOKUP(tblSales[[#This Row],[Product]],Lookup_Tables!$F$5:$F$23,Lookup_Tables!$E$5:$E$23,"")</f>
        <v>Office Supplies</v>
      </c>
      <c r="I298" t="s">
        <v>56</v>
      </c>
      <c r="J298" s="11">
        <v>8</v>
      </c>
      <c r="K298" s="1">
        <f>_xlfn.XLOOKUP(tblSales[[#This Row],[Product]],Lookup_Tables!$F$5:$F$23,Lookup_Tables!$G$5:$G$23,"")</f>
        <v>190</v>
      </c>
      <c r="L298" s="12">
        <f>_xlfn.XLOOKUP(tblSales[[#This Row],[Customer Type]],Lookup_Tables!$B$19:$B$21,Lookup_Tables!$C$19:$C$21,0)</f>
        <v>0</v>
      </c>
      <c r="M298" s="11" t="s">
        <v>35</v>
      </c>
      <c r="N298" s="11" t="str">
        <f>"Q"&amp;ROUNDUP(MONTH(tblSales[[#This Row],[Date]])/3,0)</f>
        <v>Q1</v>
      </c>
      <c r="O298" s="11">
        <f>YEAR(tblSales[[#This Row],[Date]])</f>
        <v>2026</v>
      </c>
      <c r="P298" s="1">
        <f>tblSales[[#This Row],[Quantity]]*tblSales[[#This Row],[Unit Price]]</f>
        <v>1520</v>
      </c>
      <c r="Q298" s="1">
        <f>tblSales[[#This Row],[Gross Sales]]*tblSales[[#This Row],[Discount%]]</f>
        <v>0</v>
      </c>
      <c r="R298" s="1">
        <f>tblSales[[#This Row],[Gross Sales]]-tblSales[[#This Row],[Discount Amount]]</f>
        <v>1520</v>
      </c>
    </row>
    <row r="299" spans="1:18" x14ac:dyDescent="0.35">
      <c r="A299" t="str">
        <f t="shared" si="4"/>
        <v>ORD-2026-0298</v>
      </c>
      <c r="B299" s="2">
        <v>46094</v>
      </c>
      <c r="C299" t="str">
        <f>TEXT(tblSales[[#This Row],[Date]],"mmmm")</f>
        <v>March</v>
      </c>
      <c r="D299" t="s">
        <v>27</v>
      </c>
      <c r="E299" t="str">
        <f>_xlfn.XLOOKUP(tblSales[[#This Row],[Saleperson]],Lookup_Tables!$B$5:$B$16,Lookup_Tables!$C$5:$C$16)</f>
        <v>East</v>
      </c>
      <c r="F299" s="5" t="s">
        <v>70</v>
      </c>
      <c r="G299" t="str">
        <f>_xlfn.XLOOKUP(tblSales[[#This Row],[Customer]],Lookup_Tables!$I$5:$I$34,Lookup_Tables!$J$5:$J$34)</f>
        <v>Retail</v>
      </c>
      <c r="H299" t="str">
        <f>_xlfn.XLOOKUP(tblSales[[#This Row],[Product]],Lookup_Tables!$F$5:$F$23,Lookup_Tables!$E$5:$E$23,"")</f>
        <v>Office Supplies</v>
      </c>
      <c r="I299" t="s">
        <v>51</v>
      </c>
      <c r="J299" s="11">
        <v>9</v>
      </c>
      <c r="K299" s="1">
        <f>_xlfn.XLOOKUP(tblSales[[#This Row],[Product]],Lookup_Tables!$F$5:$F$23,Lookup_Tables!$G$5:$G$23,"")</f>
        <v>90</v>
      </c>
      <c r="L299" s="12">
        <f>_xlfn.XLOOKUP(tblSales[[#This Row],[Customer Type]],Lookup_Tables!$B$19:$B$21,Lookup_Tables!$C$19:$C$21,0)</f>
        <v>0</v>
      </c>
      <c r="M299" s="11" t="s">
        <v>33</v>
      </c>
      <c r="N299" s="11" t="str">
        <f>"Q"&amp;ROUNDUP(MONTH(tblSales[[#This Row],[Date]])/3,0)</f>
        <v>Q1</v>
      </c>
      <c r="O299" s="11">
        <f>YEAR(tblSales[[#This Row],[Date]])</f>
        <v>2026</v>
      </c>
      <c r="P299" s="1">
        <f>tblSales[[#This Row],[Quantity]]*tblSales[[#This Row],[Unit Price]]</f>
        <v>810</v>
      </c>
      <c r="Q299" s="1">
        <f>tblSales[[#This Row],[Gross Sales]]*tblSales[[#This Row],[Discount%]]</f>
        <v>0</v>
      </c>
      <c r="R299" s="1">
        <f>tblSales[[#This Row],[Gross Sales]]-tblSales[[#This Row],[Discount Amount]]</f>
        <v>810</v>
      </c>
    </row>
    <row r="300" spans="1:18" x14ac:dyDescent="0.35">
      <c r="A300" t="str">
        <f t="shared" si="4"/>
        <v>ORD-2026-0299</v>
      </c>
      <c r="B300" s="2">
        <v>46095</v>
      </c>
      <c r="C300" t="str">
        <f>TEXT(tblSales[[#This Row],[Date]],"mmmm")</f>
        <v>March</v>
      </c>
      <c r="D300" t="s">
        <v>26</v>
      </c>
      <c r="E300" t="str">
        <f>_xlfn.XLOOKUP(tblSales[[#This Row],[Saleperson]],Lookup_Tables!$B$5:$B$16,Lookup_Tables!$C$5:$C$16)</f>
        <v>North</v>
      </c>
      <c r="F300" s="5" t="s">
        <v>87</v>
      </c>
      <c r="G300" t="str">
        <f>_xlfn.XLOOKUP(tblSales[[#This Row],[Customer]],Lookup_Tables!$I$5:$I$34,Lookup_Tables!$J$5:$J$34)</f>
        <v>Corporate</v>
      </c>
      <c r="H300" t="str">
        <f>_xlfn.XLOOKUP(tblSales[[#This Row],[Product]],Lookup_Tables!$F$5:$F$23,Lookup_Tables!$E$5:$E$23,"")</f>
        <v>Furniture</v>
      </c>
      <c r="I300" t="s">
        <v>47</v>
      </c>
      <c r="J300" s="11">
        <v>5</v>
      </c>
      <c r="K300" s="1">
        <f>_xlfn.XLOOKUP(tblSales[[#This Row],[Product]],Lookup_Tables!$F$5:$F$23,Lookup_Tables!$G$5:$G$23,"")</f>
        <v>7500</v>
      </c>
      <c r="L300" s="12">
        <f>_xlfn.XLOOKUP(tblSales[[#This Row],[Customer Type]],Lookup_Tables!$B$19:$B$21,Lookup_Tables!$C$19:$C$21,0)</f>
        <v>0.1</v>
      </c>
      <c r="M300" s="11" t="s">
        <v>33</v>
      </c>
      <c r="N300" s="11" t="str">
        <f>"Q"&amp;ROUNDUP(MONTH(tblSales[[#This Row],[Date]])/3,0)</f>
        <v>Q1</v>
      </c>
      <c r="O300" s="11">
        <f>YEAR(tblSales[[#This Row],[Date]])</f>
        <v>2026</v>
      </c>
      <c r="P300" s="1">
        <f>tblSales[[#This Row],[Quantity]]*tblSales[[#This Row],[Unit Price]]</f>
        <v>37500</v>
      </c>
      <c r="Q300" s="1">
        <f>tblSales[[#This Row],[Gross Sales]]*tblSales[[#This Row],[Discount%]]</f>
        <v>3750</v>
      </c>
      <c r="R300" s="1">
        <f>tblSales[[#This Row],[Gross Sales]]-tblSales[[#This Row],[Discount Amount]]</f>
        <v>33750</v>
      </c>
    </row>
    <row r="301" spans="1:18" x14ac:dyDescent="0.35">
      <c r="A301" t="str">
        <f t="shared" si="4"/>
        <v>ORD-2026-0300</v>
      </c>
      <c r="B301" s="2">
        <v>46096</v>
      </c>
      <c r="C301" t="str">
        <f>TEXT(tblSales[[#This Row],[Date]],"mmmm")</f>
        <v>March</v>
      </c>
      <c r="D301" t="s">
        <v>18</v>
      </c>
      <c r="E301" t="str">
        <f>_xlfn.XLOOKUP(tblSales[[#This Row],[Saleperson]],Lookup_Tables!$B$5:$B$16,Lookup_Tables!$C$5:$C$16)</f>
        <v>South</v>
      </c>
      <c r="F301" s="5" t="s">
        <v>64</v>
      </c>
      <c r="G301" t="str">
        <f>_xlfn.XLOOKUP(tblSales[[#This Row],[Customer]],Lookup_Tables!$I$5:$I$34,Lookup_Tables!$J$5:$J$34)</f>
        <v>Retail</v>
      </c>
      <c r="H301" t="str">
        <f>_xlfn.XLOOKUP(tblSales[[#This Row],[Product]],Lookup_Tables!$F$5:$F$23,Lookup_Tables!$E$5:$E$23,"")</f>
        <v>Furniture</v>
      </c>
      <c r="I301" t="s">
        <v>43</v>
      </c>
      <c r="J301" s="11">
        <v>5</v>
      </c>
      <c r="K301" s="1">
        <f>_xlfn.XLOOKUP(tblSales[[#This Row],[Product]],Lookup_Tables!$F$5:$F$23,Lookup_Tables!$G$5:$G$23,"")</f>
        <v>4200</v>
      </c>
      <c r="L301" s="12">
        <f>_xlfn.XLOOKUP(tblSales[[#This Row],[Customer Type]],Lookup_Tables!$B$19:$B$21,Lookup_Tables!$C$19:$C$21,0)</f>
        <v>0</v>
      </c>
      <c r="M301" s="11" t="s">
        <v>34</v>
      </c>
      <c r="N301" s="11" t="str">
        <f>"Q"&amp;ROUNDUP(MONTH(tblSales[[#This Row],[Date]])/3,0)</f>
        <v>Q1</v>
      </c>
      <c r="O301" s="11">
        <f>YEAR(tblSales[[#This Row],[Date]])</f>
        <v>2026</v>
      </c>
      <c r="P301" s="1">
        <f>tblSales[[#This Row],[Quantity]]*tblSales[[#This Row],[Unit Price]]</f>
        <v>21000</v>
      </c>
      <c r="Q301" s="1">
        <f>tblSales[[#This Row],[Gross Sales]]*tblSales[[#This Row],[Discount%]]</f>
        <v>0</v>
      </c>
      <c r="R301" s="1">
        <f>tblSales[[#This Row],[Gross Sales]]-tblSales[[#This Row],[Discount Amount]]</f>
        <v>21000</v>
      </c>
    </row>
    <row r="302" spans="1:18" x14ac:dyDescent="0.35">
      <c r="B302" s="2"/>
      <c r="J302" s="11"/>
      <c r="K302" s="1"/>
      <c r="L302" s="12"/>
      <c r="N302" s="11"/>
      <c r="O302" s="11"/>
      <c r="P302" s="1"/>
      <c r="Q302" s="1"/>
      <c r="R302" s="1"/>
    </row>
  </sheetData>
  <dataValidations count="6">
    <dataValidation type="list" allowBlank="1" showInputMessage="1" showErrorMessage="1" sqref="D2:D301" xr:uid="{8614925D-DF04-483F-9010-86121E813313}">
      <formula1>Salespersons</formula1>
    </dataValidation>
    <dataValidation type="list" allowBlank="1" showInputMessage="1" showErrorMessage="1" sqref="E2 E22 E42 E62 E82 E102 E122 E142 E162 E182 E202 E222 E242 E262 E282" xr:uid="{B3EF5F07-F5D6-43B3-ADFA-9589C8A16612}">
      <formula1>Regions</formula1>
    </dataValidation>
    <dataValidation type="list" allowBlank="1" showInputMessage="1" showErrorMessage="1" sqref="G2:G301" xr:uid="{75BC36F1-B075-4048-B65B-844942811FDE}">
      <formula1>CustomerTypes</formula1>
    </dataValidation>
    <dataValidation type="list" allowBlank="1" showInputMessage="1" showErrorMessage="1" sqref="I2:I301" xr:uid="{D537C39D-D423-4641-9913-31A6C9A864A9}">
      <formula1>Products</formula1>
    </dataValidation>
    <dataValidation type="list" allowBlank="1" showInputMessage="1" showErrorMessage="1" sqref="M2 M22 M42 M62 M82 M102 M122 M142 M162 M182 M202 M222 M242 M262 M282" xr:uid="{6F19DD78-DB39-4DAA-93BE-EB312382D0AC}">
      <formula1>PaymentMethods</formula1>
    </dataValidation>
    <dataValidation type="list" allowBlank="1" showInputMessage="1" showErrorMessage="1" sqref="F2:F301" xr:uid="{E630D2D6-C1A3-4A27-99FF-23C6B5AB6B64}">
      <formula1>Customers</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C9F0D7-6E59-4444-B27F-C29290CB2926}">
  <dimension ref="B1:N34"/>
  <sheetViews>
    <sheetView showGridLines="0" zoomScale="87" zoomScaleNormal="100" workbookViewId="0">
      <selection activeCell="C13" sqref="C13"/>
    </sheetView>
  </sheetViews>
  <sheetFormatPr defaultRowHeight="14.5" x14ac:dyDescent="0.35"/>
  <cols>
    <col min="1" max="1" width="5.36328125" customWidth="1"/>
    <col min="2" max="2" width="19.36328125" customWidth="1"/>
    <col min="3" max="3" width="22.26953125" customWidth="1"/>
    <col min="5" max="5" width="19.08984375" customWidth="1"/>
    <col min="6" max="6" width="12.453125" customWidth="1"/>
    <col min="7" max="7" width="12.54296875" customWidth="1"/>
    <col min="9" max="9" width="27.1796875" customWidth="1"/>
    <col min="10" max="10" width="16.7265625" customWidth="1"/>
    <col min="15" max="15" width="13.90625" customWidth="1"/>
  </cols>
  <sheetData>
    <row r="1" spans="2:14" ht="21" x14ac:dyDescent="0.35">
      <c r="B1" s="59"/>
      <c r="C1" s="59"/>
    </row>
    <row r="2" spans="2:14" ht="21" x14ac:dyDescent="0.35">
      <c r="B2" s="80" t="s">
        <v>58</v>
      </c>
      <c r="C2" s="80"/>
      <c r="E2" s="80" t="s">
        <v>59</v>
      </c>
      <c r="F2" s="80"/>
      <c r="G2" s="80"/>
      <c r="I2" s="80" t="s">
        <v>61</v>
      </c>
      <c r="J2" s="80"/>
    </row>
    <row r="3" spans="2:14" x14ac:dyDescent="0.35">
      <c r="L3" s="3"/>
    </row>
    <row r="4" spans="2:14" ht="18.5" x14ac:dyDescent="0.45">
      <c r="B4" s="52" t="s">
        <v>3</v>
      </c>
      <c r="C4" s="53" t="s">
        <v>4</v>
      </c>
      <c r="E4" s="54" t="s">
        <v>7</v>
      </c>
      <c r="F4" s="56" t="s">
        <v>8</v>
      </c>
      <c r="G4" s="53" t="s">
        <v>10</v>
      </c>
      <c r="I4" s="57" t="s">
        <v>5</v>
      </c>
      <c r="J4" s="58" t="s">
        <v>6</v>
      </c>
      <c r="L4" s="3"/>
    </row>
    <row r="5" spans="2:14" x14ac:dyDescent="0.35">
      <c r="B5" s="46" t="s">
        <v>17</v>
      </c>
      <c r="C5" s="40" t="s">
        <v>13</v>
      </c>
      <c r="E5" s="46" t="s">
        <v>36</v>
      </c>
      <c r="F5" s="48" t="s">
        <v>37</v>
      </c>
      <c r="G5" s="44">
        <v>20000</v>
      </c>
      <c r="I5" s="50" t="s">
        <v>62</v>
      </c>
      <c r="J5" s="38" t="s">
        <v>30</v>
      </c>
      <c r="L5" s="3"/>
    </row>
    <row r="6" spans="2:14" x14ac:dyDescent="0.35">
      <c r="B6" s="46" t="s">
        <v>18</v>
      </c>
      <c r="C6" s="40" t="s">
        <v>14</v>
      </c>
      <c r="E6" s="46" t="s">
        <v>36</v>
      </c>
      <c r="F6" s="48" t="s">
        <v>38</v>
      </c>
      <c r="G6" s="44">
        <v>6000</v>
      </c>
      <c r="I6" s="50" t="s">
        <v>63</v>
      </c>
      <c r="J6" s="38" t="s">
        <v>29</v>
      </c>
      <c r="L6" s="3"/>
    </row>
    <row r="7" spans="2:14" x14ac:dyDescent="0.35">
      <c r="B7" s="46" t="s">
        <v>19</v>
      </c>
      <c r="C7" s="40" t="s">
        <v>16</v>
      </c>
      <c r="E7" s="46" t="s">
        <v>36</v>
      </c>
      <c r="F7" s="48" t="s">
        <v>39</v>
      </c>
      <c r="G7" s="44">
        <v>9500</v>
      </c>
      <c r="I7" s="50" t="s">
        <v>64</v>
      </c>
      <c r="J7" s="38" t="s">
        <v>29</v>
      </c>
      <c r="L7" s="3"/>
    </row>
    <row r="8" spans="2:14" x14ac:dyDescent="0.35">
      <c r="B8" s="46" t="s">
        <v>20</v>
      </c>
      <c r="C8" s="40" t="s">
        <v>15</v>
      </c>
      <c r="E8" s="46" t="s">
        <v>36</v>
      </c>
      <c r="F8" s="48" t="s">
        <v>40</v>
      </c>
      <c r="G8" s="44">
        <v>850</v>
      </c>
      <c r="I8" s="50" t="s">
        <v>65</v>
      </c>
      <c r="J8" s="38" t="s">
        <v>29</v>
      </c>
      <c r="L8" s="3"/>
    </row>
    <row r="9" spans="2:14" ht="12.5" customHeight="1" x14ac:dyDescent="0.35">
      <c r="B9" s="46" t="s">
        <v>21</v>
      </c>
      <c r="C9" s="40" t="s">
        <v>14</v>
      </c>
      <c r="E9" s="46" t="s">
        <v>36</v>
      </c>
      <c r="F9" s="48" t="s">
        <v>41</v>
      </c>
      <c r="G9" s="44">
        <v>720</v>
      </c>
      <c r="I9" s="50" t="s">
        <v>66</v>
      </c>
      <c r="J9" s="38" t="s">
        <v>29</v>
      </c>
      <c r="L9" s="3"/>
      <c r="N9" s="59"/>
    </row>
    <row r="10" spans="2:14" x14ac:dyDescent="0.35">
      <c r="B10" s="46" t="s">
        <v>22</v>
      </c>
      <c r="C10" s="40" t="s">
        <v>13</v>
      </c>
      <c r="E10" s="46" t="s">
        <v>42</v>
      </c>
      <c r="F10" s="48" t="s">
        <v>43</v>
      </c>
      <c r="G10" s="44">
        <v>4200</v>
      </c>
      <c r="I10" s="50" t="s">
        <v>67</v>
      </c>
      <c r="J10" s="38" t="s">
        <v>31</v>
      </c>
      <c r="L10" s="3"/>
    </row>
    <row r="11" spans="2:14" x14ac:dyDescent="0.35">
      <c r="B11" s="46" t="s">
        <v>23</v>
      </c>
      <c r="C11" s="40" t="s">
        <v>16</v>
      </c>
      <c r="E11" s="46" t="s">
        <v>42</v>
      </c>
      <c r="F11" s="48" t="s">
        <v>44</v>
      </c>
      <c r="G11" s="44">
        <v>6900</v>
      </c>
      <c r="I11" s="50" t="s">
        <v>68</v>
      </c>
      <c r="J11" s="38" t="s">
        <v>31</v>
      </c>
      <c r="L11" s="3"/>
    </row>
    <row r="12" spans="2:14" x14ac:dyDescent="0.35">
      <c r="B12" s="46" t="s">
        <v>24</v>
      </c>
      <c r="C12" s="40" t="s">
        <v>14</v>
      </c>
      <c r="E12" s="46" t="s">
        <v>42</v>
      </c>
      <c r="F12" s="48" t="s">
        <v>45</v>
      </c>
      <c r="G12" s="44">
        <v>5200</v>
      </c>
      <c r="I12" s="50" t="s">
        <v>69</v>
      </c>
      <c r="J12" s="38" t="s">
        <v>29</v>
      </c>
      <c r="L12" s="3"/>
    </row>
    <row r="13" spans="2:14" x14ac:dyDescent="0.35">
      <c r="B13" s="46" t="s">
        <v>25</v>
      </c>
      <c r="C13" s="40" t="s">
        <v>16</v>
      </c>
      <c r="E13" s="46" t="s">
        <v>42</v>
      </c>
      <c r="F13" s="48" t="s">
        <v>46</v>
      </c>
      <c r="G13" s="44">
        <v>3100</v>
      </c>
      <c r="I13" s="50" t="s">
        <v>70</v>
      </c>
      <c r="J13" s="38" t="s">
        <v>29</v>
      </c>
      <c r="L13" s="3"/>
    </row>
    <row r="14" spans="2:14" x14ac:dyDescent="0.35">
      <c r="B14" s="46" t="s">
        <v>26</v>
      </c>
      <c r="C14" s="40" t="s">
        <v>13</v>
      </c>
      <c r="E14" s="46" t="s">
        <v>42</v>
      </c>
      <c r="F14" s="48" t="s">
        <v>47</v>
      </c>
      <c r="G14" s="44">
        <v>7500</v>
      </c>
      <c r="I14" s="50" t="s">
        <v>71</v>
      </c>
      <c r="J14" s="38" t="s">
        <v>31</v>
      </c>
      <c r="L14" s="3"/>
    </row>
    <row r="15" spans="2:14" x14ac:dyDescent="0.35">
      <c r="B15" s="46" t="s">
        <v>27</v>
      </c>
      <c r="C15" s="40" t="s">
        <v>15</v>
      </c>
      <c r="E15" s="46" t="s">
        <v>48</v>
      </c>
      <c r="F15" s="48" t="s">
        <v>57</v>
      </c>
      <c r="G15" s="44">
        <v>5000</v>
      </c>
      <c r="I15" s="50" t="s">
        <v>72</v>
      </c>
      <c r="J15" s="38" t="s">
        <v>29</v>
      </c>
      <c r="L15" s="3"/>
    </row>
    <row r="16" spans="2:14" x14ac:dyDescent="0.35">
      <c r="B16" s="47" t="s">
        <v>28</v>
      </c>
      <c r="C16" s="41" t="s">
        <v>14</v>
      </c>
      <c r="E16" s="46" t="s">
        <v>48</v>
      </c>
      <c r="F16" s="48" t="s">
        <v>49</v>
      </c>
      <c r="G16" s="44">
        <v>120</v>
      </c>
      <c r="I16" s="50" t="s">
        <v>73</v>
      </c>
      <c r="J16" s="38" t="s">
        <v>29</v>
      </c>
    </row>
    <row r="17" spans="2:10" x14ac:dyDescent="0.35">
      <c r="E17" s="46" t="s">
        <v>48</v>
      </c>
      <c r="F17" s="48" t="s">
        <v>50</v>
      </c>
      <c r="G17" s="44">
        <v>180</v>
      </c>
      <c r="I17" s="50" t="s">
        <v>74</v>
      </c>
      <c r="J17" s="38" t="s">
        <v>29</v>
      </c>
    </row>
    <row r="18" spans="2:10" ht="18.5" x14ac:dyDescent="0.35">
      <c r="B18" s="54" t="s">
        <v>6</v>
      </c>
      <c r="C18" s="53" t="s">
        <v>60</v>
      </c>
      <c r="E18" s="46" t="s">
        <v>48</v>
      </c>
      <c r="F18" s="48" t="s">
        <v>51</v>
      </c>
      <c r="G18" s="44">
        <v>90</v>
      </c>
      <c r="I18" s="50" t="s">
        <v>75</v>
      </c>
      <c r="J18" s="38" t="s">
        <v>30</v>
      </c>
    </row>
    <row r="19" spans="2:10" x14ac:dyDescent="0.35">
      <c r="B19" s="46" t="s">
        <v>29</v>
      </c>
      <c r="C19" s="36">
        <v>0</v>
      </c>
      <c r="E19" s="46" t="s">
        <v>48</v>
      </c>
      <c r="F19" s="48" t="s">
        <v>52</v>
      </c>
      <c r="G19" s="44">
        <v>60</v>
      </c>
      <c r="I19" s="50" t="s">
        <v>76</v>
      </c>
      <c r="J19" s="38" t="s">
        <v>29</v>
      </c>
    </row>
    <row r="20" spans="2:10" x14ac:dyDescent="0.35">
      <c r="B20" s="46" t="s">
        <v>30</v>
      </c>
      <c r="C20" s="36">
        <v>0.1</v>
      </c>
      <c r="E20" s="46" t="s">
        <v>48</v>
      </c>
      <c r="F20" s="48" t="s">
        <v>53</v>
      </c>
      <c r="G20" s="44">
        <v>32</v>
      </c>
      <c r="I20" s="50" t="s">
        <v>77</v>
      </c>
      <c r="J20" s="38" t="s">
        <v>29</v>
      </c>
    </row>
    <row r="21" spans="2:10" x14ac:dyDescent="0.35">
      <c r="B21" s="47" t="s">
        <v>31</v>
      </c>
      <c r="C21" s="37">
        <v>0.15</v>
      </c>
      <c r="E21" s="46" t="s">
        <v>48</v>
      </c>
      <c r="F21" s="48" t="s">
        <v>54</v>
      </c>
      <c r="G21" s="44">
        <v>210</v>
      </c>
      <c r="I21" s="50" t="s">
        <v>78</v>
      </c>
      <c r="J21" s="38" t="s">
        <v>29</v>
      </c>
    </row>
    <row r="22" spans="2:10" x14ac:dyDescent="0.35">
      <c r="E22" s="46" t="s">
        <v>48</v>
      </c>
      <c r="F22" s="48" t="s">
        <v>55</v>
      </c>
      <c r="G22" s="44">
        <v>75</v>
      </c>
      <c r="I22" s="50" t="s">
        <v>79</v>
      </c>
      <c r="J22" s="38" t="s">
        <v>29</v>
      </c>
    </row>
    <row r="23" spans="2:10" ht="18.5" x14ac:dyDescent="0.35">
      <c r="C23" s="55" t="s">
        <v>12</v>
      </c>
      <c r="E23" s="47" t="s">
        <v>48</v>
      </c>
      <c r="F23" s="49" t="s">
        <v>56</v>
      </c>
      <c r="G23" s="45">
        <v>190</v>
      </c>
      <c r="I23" s="50" t="s">
        <v>80</v>
      </c>
      <c r="J23" s="38" t="s">
        <v>29</v>
      </c>
    </row>
    <row r="24" spans="2:10" x14ac:dyDescent="0.35">
      <c r="C24" s="42" t="s">
        <v>32</v>
      </c>
      <c r="I24" s="50" t="s">
        <v>81</v>
      </c>
      <c r="J24" s="38" t="s">
        <v>30</v>
      </c>
    </row>
    <row r="25" spans="2:10" x14ac:dyDescent="0.35">
      <c r="C25" s="42" t="s">
        <v>33</v>
      </c>
      <c r="I25" s="50" t="s">
        <v>82</v>
      </c>
      <c r="J25" s="38" t="s">
        <v>29</v>
      </c>
    </row>
    <row r="26" spans="2:10" x14ac:dyDescent="0.35">
      <c r="C26" s="42" t="s">
        <v>34</v>
      </c>
      <c r="I26" s="50" t="s">
        <v>83</v>
      </c>
      <c r="J26" s="38" t="s">
        <v>30</v>
      </c>
    </row>
    <row r="27" spans="2:10" x14ac:dyDescent="0.35">
      <c r="C27" s="43" t="s">
        <v>35</v>
      </c>
      <c r="I27" s="50" t="s">
        <v>84</v>
      </c>
      <c r="J27" s="38" t="s">
        <v>29</v>
      </c>
    </row>
    <row r="28" spans="2:10" x14ac:dyDescent="0.35">
      <c r="I28" s="50" t="s">
        <v>85</v>
      </c>
      <c r="J28" s="38" t="s">
        <v>29</v>
      </c>
    </row>
    <row r="29" spans="2:10" x14ac:dyDescent="0.35">
      <c r="I29" s="50" t="s">
        <v>86</v>
      </c>
      <c r="J29" s="38" t="s">
        <v>29</v>
      </c>
    </row>
    <row r="30" spans="2:10" x14ac:dyDescent="0.35">
      <c r="I30" s="50" t="s">
        <v>87</v>
      </c>
      <c r="J30" s="38" t="s">
        <v>30</v>
      </c>
    </row>
    <row r="31" spans="2:10" x14ac:dyDescent="0.35">
      <c r="I31" s="50" t="s">
        <v>88</v>
      </c>
      <c r="J31" s="38" t="s">
        <v>30</v>
      </c>
    </row>
    <row r="32" spans="2:10" x14ac:dyDescent="0.35">
      <c r="I32" s="50" t="s">
        <v>89</v>
      </c>
      <c r="J32" s="38" t="s">
        <v>29</v>
      </c>
    </row>
    <row r="33" spans="9:10" x14ac:dyDescent="0.35">
      <c r="I33" s="50" t="s">
        <v>90</v>
      </c>
      <c r="J33" s="38" t="s">
        <v>30</v>
      </c>
    </row>
    <row r="34" spans="9:10" x14ac:dyDescent="0.35">
      <c r="I34" s="51" t="s">
        <v>91</v>
      </c>
      <c r="J34" s="39" t="s">
        <v>30</v>
      </c>
    </row>
  </sheetData>
  <mergeCells count="3">
    <mergeCell ref="I2:J2"/>
    <mergeCell ref="E2:G2"/>
    <mergeCell ref="B2:C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DACDD2-C3F3-48AE-8F56-6E0758F20761}">
  <dimension ref="B1:T96"/>
  <sheetViews>
    <sheetView showGridLines="0" showRowColHeaders="0" zoomScale="78" zoomScaleNormal="255" workbookViewId="0">
      <selection activeCell="K100" sqref="K100"/>
    </sheetView>
  </sheetViews>
  <sheetFormatPr defaultRowHeight="14.5" x14ac:dyDescent="0.35"/>
  <cols>
    <col min="1" max="1" width="3.08984375" customWidth="1"/>
    <col min="2" max="2" width="13.453125" bestFit="1" customWidth="1"/>
    <col min="3" max="3" width="15.54296875" bestFit="1" customWidth="1"/>
    <col min="4" max="4" width="14.90625" bestFit="1" customWidth="1"/>
    <col min="5" max="5" width="12.1796875" bestFit="1" customWidth="1"/>
    <col min="6" max="6" width="13.6328125" bestFit="1" customWidth="1"/>
    <col min="7" max="7" width="17.6328125" bestFit="1" customWidth="1"/>
    <col min="8" max="8" width="14.81640625" bestFit="1" customWidth="1"/>
    <col min="9" max="9" width="10.36328125" customWidth="1"/>
    <col min="10" max="10" width="13.36328125" bestFit="1" customWidth="1"/>
    <col min="11" max="11" width="21.6328125" bestFit="1" customWidth="1"/>
    <col min="12" max="12" width="15.54296875" bestFit="1" customWidth="1"/>
    <col min="13" max="13" width="16.6328125" bestFit="1" customWidth="1"/>
    <col min="14" max="14" width="9.36328125" customWidth="1"/>
    <col min="15" max="15" width="2" customWidth="1"/>
    <col min="16" max="16" width="8.90625" customWidth="1"/>
    <col min="17" max="17" width="15.453125" bestFit="1" customWidth="1"/>
    <col min="18" max="18" width="18.90625" bestFit="1" customWidth="1"/>
    <col min="19" max="19" width="15.26953125" bestFit="1" customWidth="1"/>
    <col min="20" max="20" width="16.26953125" bestFit="1" customWidth="1"/>
  </cols>
  <sheetData>
    <row r="1" spans="2:20" x14ac:dyDescent="0.35">
      <c r="O1" s="15"/>
    </row>
    <row r="2" spans="2:20" ht="18.5" x14ac:dyDescent="0.35">
      <c r="B2" s="82" t="s">
        <v>119</v>
      </c>
      <c r="C2" s="82"/>
      <c r="E2" s="82" t="s">
        <v>120</v>
      </c>
      <c r="F2" s="82"/>
      <c r="G2" s="82"/>
      <c r="H2" s="82"/>
      <c r="J2" s="82" t="s">
        <v>123</v>
      </c>
      <c r="K2" s="82"/>
      <c r="L2" s="82"/>
      <c r="M2" s="82"/>
      <c r="O2" s="15"/>
      <c r="Q2" s="83" t="s">
        <v>128</v>
      </c>
      <c r="R2" s="83"/>
      <c r="S2" s="83"/>
      <c r="T2" s="83"/>
    </row>
    <row r="3" spans="2:20" x14ac:dyDescent="0.35">
      <c r="E3" s="28"/>
      <c r="O3" s="15"/>
    </row>
    <row r="4" spans="2:20" x14ac:dyDescent="0.35">
      <c r="B4" s="24" t="s">
        <v>2</v>
      </c>
      <c r="C4" s="24" t="s">
        <v>111</v>
      </c>
      <c r="E4" s="24" t="s">
        <v>3</v>
      </c>
      <c r="F4" s="24" t="s">
        <v>111</v>
      </c>
      <c r="G4" s="24" t="s">
        <v>141</v>
      </c>
      <c r="H4" s="24" t="s">
        <v>142</v>
      </c>
      <c r="J4" s="34" t="s">
        <v>136</v>
      </c>
      <c r="K4" s="33" t="s">
        <v>111</v>
      </c>
      <c r="L4" s="33" t="s">
        <v>115</v>
      </c>
      <c r="M4" s="33" t="s">
        <v>124</v>
      </c>
      <c r="O4" s="15"/>
      <c r="Q4" s="20" t="s">
        <v>129</v>
      </c>
      <c r="R4" s="20" t="s">
        <v>137</v>
      </c>
      <c r="S4" s="20" t="s">
        <v>115</v>
      </c>
      <c r="T4" s="20" t="s">
        <v>130</v>
      </c>
    </row>
    <row r="5" spans="2:20" x14ac:dyDescent="0.35">
      <c r="B5" s="13">
        <v>2025</v>
      </c>
      <c r="C5" s="1">
        <v>5209174.3999999994</v>
      </c>
      <c r="E5" s="13" t="s">
        <v>28</v>
      </c>
      <c r="F5" s="1">
        <v>967077.3</v>
      </c>
      <c r="G5">
        <v>51</v>
      </c>
      <c r="H5" s="1">
        <v>18962.3</v>
      </c>
      <c r="J5" s="13" t="s">
        <v>36</v>
      </c>
      <c r="K5" s="1">
        <v>3581369</v>
      </c>
      <c r="L5">
        <v>79</v>
      </c>
      <c r="M5" s="14">
        <v>0.53050488759298997</v>
      </c>
      <c r="O5" s="15"/>
    </row>
    <row r="6" spans="2:20" x14ac:dyDescent="0.35">
      <c r="B6" s="76" t="s">
        <v>98</v>
      </c>
      <c r="C6" s="1">
        <v>697878</v>
      </c>
      <c r="E6" s="13" t="s">
        <v>24</v>
      </c>
      <c r="F6" s="1">
        <v>830856</v>
      </c>
      <c r="G6">
        <v>21</v>
      </c>
      <c r="H6" s="1">
        <v>39564.571428571428</v>
      </c>
      <c r="J6" s="13" t="s">
        <v>42</v>
      </c>
      <c r="K6" s="1">
        <v>2726120</v>
      </c>
      <c r="L6">
        <v>85</v>
      </c>
      <c r="M6" s="14">
        <v>0.40381764184729407</v>
      </c>
      <c r="O6" s="15"/>
      <c r="Q6" s="29" t="s">
        <v>111</v>
      </c>
      <c r="R6" s="29" t="s">
        <v>140</v>
      </c>
      <c r="S6" s="29" t="s">
        <v>113</v>
      </c>
      <c r="T6" s="29" t="s">
        <v>112</v>
      </c>
    </row>
    <row r="7" spans="2:20" x14ac:dyDescent="0.35">
      <c r="B7" s="76" t="s">
        <v>99</v>
      </c>
      <c r="C7" s="1">
        <v>319685</v>
      </c>
      <c r="D7" s="28"/>
      <c r="E7" s="13" t="s">
        <v>26</v>
      </c>
      <c r="F7" s="1">
        <v>788264.1</v>
      </c>
      <c r="G7">
        <v>25</v>
      </c>
      <c r="H7" s="1">
        <v>31530.563999999998</v>
      </c>
      <c r="J7" s="13" t="s">
        <v>48</v>
      </c>
      <c r="K7" s="1">
        <v>443379.99999999994</v>
      </c>
      <c r="L7">
        <v>136</v>
      </c>
      <c r="M7" s="14">
        <v>6.5677470559716095E-2</v>
      </c>
      <c r="O7" s="15"/>
      <c r="Q7" s="1">
        <v>6750868.9999999991</v>
      </c>
      <c r="R7" s="1">
        <v>22502.896666666664</v>
      </c>
      <c r="S7">
        <v>1720</v>
      </c>
      <c r="T7">
        <v>300</v>
      </c>
    </row>
    <row r="8" spans="2:20" x14ac:dyDescent="0.35">
      <c r="B8" s="76" t="s">
        <v>100</v>
      </c>
      <c r="C8" s="1">
        <v>127118.5</v>
      </c>
      <c r="E8" s="13" t="s">
        <v>21</v>
      </c>
      <c r="F8" s="1">
        <v>656345</v>
      </c>
      <c r="G8">
        <v>22</v>
      </c>
      <c r="H8" s="1">
        <v>29833.863636363636</v>
      </c>
      <c r="J8" s="31" t="s">
        <v>110</v>
      </c>
      <c r="K8" s="30">
        <v>6750868.9999999991</v>
      </c>
      <c r="L8" s="29">
        <v>300</v>
      </c>
      <c r="M8" s="32">
        <v>1</v>
      </c>
      <c r="O8" s="15"/>
    </row>
    <row r="9" spans="2:20" x14ac:dyDescent="0.35">
      <c r="B9" s="76" t="s">
        <v>101</v>
      </c>
      <c r="C9" s="77">
        <v>254792</v>
      </c>
      <c r="E9" s="13" t="s">
        <v>25</v>
      </c>
      <c r="F9" s="1">
        <v>620988</v>
      </c>
      <c r="G9">
        <v>22</v>
      </c>
      <c r="H9" s="1">
        <v>28226.727272727272</v>
      </c>
      <c r="O9" s="15"/>
    </row>
    <row r="10" spans="2:20" x14ac:dyDescent="0.35">
      <c r="B10" s="76" t="s">
        <v>102</v>
      </c>
      <c r="C10" s="1">
        <v>255731</v>
      </c>
      <c r="E10" s="13" t="s">
        <v>18</v>
      </c>
      <c r="F10" s="1">
        <v>538828</v>
      </c>
      <c r="G10">
        <v>21</v>
      </c>
      <c r="H10" s="1">
        <v>25658.476190476191</v>
      </c>
      <c r="O10" s="15"/>
    </row>
    <row r="11" spans="2:20" ht="18.5" x14ac:dyDescent="0.35">
      <c r="B11" s="76" t="s">
        <v>103</v>
      </c>
      <c r="C11" s="1">
        <v>414663</v>
      </c>
      <c r="E11" s="13" t="s">
        <v>22</v>
      </c>
      <c r="F11" s="1">
        <v>412299</v>
      </c>
      <c r="G11">
        <v>22</v>
      </c>
      <c r="H11" s="1">
        <v>18740.863636363636</v>
      </c>
      <c r="J11" s="82" t="s">
        <v>138</v>
      </c>
      <c r="K11" s="82"/>
      <c r="L11" s="82"/>
      <c r="M11" s="82"/>
      <c r="O11" s="15"/>
    </row>
    <row r="12" spans="2:20" x14ac:dyDescent="0.35">
      <c r="B12" s="76" t="s">
        <v>104</v>
      </c>
      <c r="C12" s="1">
        <v>524701.1</v>
      </c>
      <c r="E12" s="13" t="s">
        <v>27</v>
      </c>
      <c r="F12" s="1">
        <v>407604.5</v>
      </c>
      <c r="G12">
        <v>27</v>
      </c>
      <c r="H12" s="1">
        <v>15096.462962962964</v>
      </c>
      <c r="O12" s="15"/>
      <c r="P12" s="35"/>
    </row>
    <row r="13" spans="2:20" x14ac:dyDescent="0.35">
      <c r="B13" s="76" t="s">
        <v>105</v>
      </c>
      <c r="C13" s="1">
        <v>330526</v>
      </c>
      <c r="E13" s="13" t="s">
        <v>23</v>
      </c>
      <c r="F13" s="1">
        <v>400739</v>
      </c>
      <c r="G13">
        <v>23</v>
      </c>
      <c r="H13" s="1">
        <v>17423.434782608696</v>
      </c>
      <c r="K13" s="27" t="s">
        <v>127</v>
      </c>
      <c r="L13" s="24" t="s">
        <v>111</v>
      </c>
      <c r="O13" s="15"/>
    </row>
    <row r="14" spans="2:20" x14ac:dyDescent="0.35">
      <c r="B14" s="76" t="s">
        <v>106</v>
      </c>
      <c r="C14" s="1">
        <v>232291</v>
      </c>
      <c r="D14" s="22"/>
      <c r="E14" s="13" t="s">
        <v>19</v>
      </c>
      <c r="F14" s="1">
        <v>390134.5</v>
      </c>
      <c r="G14">
        <v>24</v>
      </c>
      <c r="H14" s="1">
        <v>16255.604166666666</v>
      </c>
      <c r="J14" s="23"/>
      <c r="K14" s="13" t="s">
        <v>29</v>
      </c>
      <c r="L14" s="1">
        <v>4881738</v>
      </c>
      <c r="O14" s="15"/>
    </row>
    <row r="15" spans="2:20" x14ac:dyDescent="0.35">
      <c r="B15" s="76" t="s">
        <v>107</v>
      </c>
      <c r="C15" s="1">
        <v>300802.5</v>
      </c>
      <c r="E15" s="13" t="s">
        <v>20</v>
      </c>
      <c r="F15" s="1">
        <v>370069.5</v>
      </c>
      <c r="G15">
        <v>21</v>
      </c>
      <c r="H15" s="1">
        <v>17622.357142857141</v>
      </c>
      <c r="J15" s="21"/>
      <c r="K15" s="13" t="s">
        <v>31</v>
      </c>
      <c r="L15" s="1">
        <v>1108726.4000000001</v>
      </c>
      <c r="M15" s="19"/>
      <c r="O15" s="15"/>
    </row>
    <row r="16" spans="2:20" x14ac:dyDescent="0.35">
      <c r="B16" s="76" t="s">
        <v>108</v>
      </c>
      <c r="C16" s="1">
        <v>1142820</v>
      </c>
      <c r="E16" s="13" t="s">
        <v>17</v>
      </c>
      <c r="F16" s="1">
        <v>367664.1</v>
      </c>
      <c r="G16">
        <v>21</v>
      </c>
      <c r="H16" s="1">
        <v>17507.814285714285</v>
      </c>
      <c r="J16" s="28"/>
      <c r="K16" s="13" t="s">
        <v>30</v>
      </c>
      <c r="L16" s="1">
        <v>760404.6</v>
      </c>
      <c r="O16" s="15"/>
      <c r="S16" s="16"/>
    </row>
    <row r="17" spans="2:15" x14ac:dyDescent="0.35">
      <c r="B17" s="76" t="s">
        <v>109</v>
      </c>
      <c r="C17" s="1">
        <v>608166.30000000005</v>
      </c>
      <c r="E17" s="26" t="s">
        <v>110</v>
      </c>
      <c r="F17" s="25">
        <v>6750869</v>
      </c>
      <c r="G17" s="24">
        <v>300</v>
      </c>
      <c r="H17" s="25">
        <v>22502.896666666667</v>
      </c>
      <c r="K17" s="26" t="s">
        <v>110</v>
      </c>
      <c r="L17" s="25">
        <v>6750869</v>
      </c>
      <c r="O17" s="15"/>
    </row>
    <row r="18" spans="2:15" x14ac:dyDescent="0.35">
      <c r="B18" s="13">
        <v>2026</v>
      </c>
      <c r="C18" s="1">
        <v>1541694.6</v>
      </c>
      <c r="O18" s="15"/>
    </row>
    <row r="19" spans="2:15" x14ac:dyDescent="0.35">
      <c r="B19" s="76" t="s">
        <v>98</v>
      </c>
      <c r="C19" s="1">
        <v>872563</v>
      </c>
      <c r="O19" s="15"/>
    </row>
    <row r="20" spans="2:15" ht="18.5" x14ac:dyDescent="0.35">
      <c r="B20" s="76" t="s">
        <v>99</v>
      </c>
      <c r="C20" s="1">
        <v>355319.2</v>
      </c>
      <c r="E20" s="82" t="s">
        <v>121</v>
      </c>
      <c r="F20" s="82"/>
      <c r="G20" s="82"/>
      <c r="H20" s="82"/>
      <c r="J20" s="82" t="s">
        <v>139</v>
      </c>
      <c r="K20" s="82"/>
      <c r="L20" s="82"/>
      <c r="M20" s="82"/>
      <c r="O20" s="15"/>
    </row>
    <row r="21" spans="2:15" x14ac:dyDescent="0.35">
      <c r="B21" s="76" t="s">
        <v>100</v>
      </c>
      <c r="C21" s="1">
        <v>313812.40000000002</v>
      </c>
      <c r="O21" s="15"/>
    </row>
    <row r="22" spans="2:15" x14ac:dyDescent="0.35">
      <c r="B22" s="31" t="s">
        <v>110</v>
      </c>
      <c r="C22" s="30">
        <v>6750869</v>
      </c>
      <c r="E22" s="29" t="s">
        <v>114</v>
      </c>
      <c r="F22" s="29" t="s">
        <v>116</v>
      </c>
      <c r="G22" s="29" t="s">
        <v>115</v>
      </c>
      <c r="H22" s="29" t="s">
        <v>117</v>
      </c>
      <c r="J22" s="33" t="s">
        <v>127</v>
      </c>
      <c r="K22" s="33" t="s">
        <v>111</v>
      </c>
      <c r="L22" s="33" t="s">
        <v>115</v>
      </c>
      <c r="M22" s="33" t="s">
        <v>124</v>
      </c>
      <c r="O22" s="15"/>
    </row>
    <row r="23" spans="2:15" x14ac:dyDescent="0.35">
      <c r="E23" s="13" t="s">
        <v>37</v>
      </c>
      <c r="F23" s="1">
        <v>2277000</v>
      </c>
      <c r="G23">
        <v>19</v>
      </c>
      <c r="H23" s="14">
        <v>0.44194326939033374</v>
      </c>
      <c r="J23" s="13" t="s">
        <v>29</v>
      </c>
      <c r="K23" s="1">
        <v>4881738</v>
      </c>
      <c r="L23">
        <v>207</v>
      </c>
      <c r="M23" s="14">
        <v>0.72312734849394944</v>
      </c>
      <c r="O23" s="15"/>
    </row>
    <row r="24" spans="2:15" x14ac:dyDescent="0.35">
      <c r="E24" s="13" t="s">
        <v>47</v>
      </c>
      <c r="F24" s="1">
        <v>892125</v>
      </c>
      <c r="G24">
        <v>19</v>
      </c>
      <c r="H24" s="14">
        <v>0.17315267422259617</v>
      </c>
      <c r="J24" s="13" t="s">
        <v>31</v>
      </c>
      <c r="K24" s="1">
        <v>1108726.4000000001</v>
      </c>
      <c r="L24">
        <v>65</v>
      </c>
      <c r="M24" s="14">
        <v>0.16423461927642205</v>
      </c>
      <c r="O24" s="15"/>
    </row>
    <row r="25" spans="2:15" ht="18.5" x14ac:dyDescent="0.35">
      <c r="B25" s="82" t="s">
        <v>118</v>
      </c>
      <c r="C25" s="82"/>
      <c r="E25" s="13" t="s">
        <v>44</v>
      </c>
      <c r="F25" s="1">
        <v>809370</v>
      </c>
      <c r="G25">
        <v>19</v>
      </c>
      <c r="H25" s="14">
        <v>0.15709074393783681</v>
      </c>
      <c r="J25" s="13" t="s">
        <v>30</v>
      </c>
      <c r="K25" s="1">
        <v>760404.6</v>
      </c>
      <c r="L25">
        <v>28</v>
      </c>
      <c r="M25" s="14">
        <v>0.11263803222962851</v>
      </c>
      <c r="O25" s="15"/>
    </row>
    <row r="26" spans="2:15" x14ac:dyDescent="0.35">
      <c r="E26" s="13" t="s">
        <v>38</v>
      </c>
      <c r="F26" s="1">
        <v>703500</v>
      </c>
      <c r="G26">
        <v>20</v>
      </c>
      <c r="H26" s="14">
        <v>0.13654241985775134</v>
      </c>
      <c r="J26" s="31" t="s">
        <v>110</v>
      </c>
      <c r="K26" s="30">
        <v>6750869</v>
      </c>
      <c r="L26" s="29">
        <v>300</v>
      </c>
      <c r="M26" s="32">
        <v>1</v>
      </c>
      <c r="O26" s="15"/>
    </row>
    <row r="27" spans="2:15" x14ac:dyDescent="0.35">
      <c r="B27" s="29" t="s">
        <v>4</v>
      </c>
      <c r="C27" s="29" t="s">
        <v>111</v>
      </c>
      <c r="E27" s="13" t="s">
        <v>39</v>
      </c>
      <c r="F27" s="1">
        <v>470250</v>
      </c>
      <c r="G27">
        <v>9</v>
      </c>
      <c r="H27" s="14">
        <v>9.1270892591481967E-2</v>
      </c>
      <c r="O27" s="15"/>
    </row>
    <row r="28" spans="2:15" x14ac:dyDescent="0.35">
      <c r="B28" s="13" t="s">
        <v>14</v>
      </c>
      <c r="C28" s="1">
        <v>2993106.3</v>
      </c>
      <c r="D28" s="35"/>
      <c r="E28" s="31" t="s">
        <v>110</v>
      </c>
      <c r="F28" s="30">
        <v>5152245</v>
      </c>
      <c r="G28" s="29">
        <v>86</v>
      </c>
      <c r="H28" s="32">
        <v>1</v>
      </c>
      <c r="O28" s="15"/>
    </row>
    <row r="29" spans="2:15" ht="18.5" x14ac:dyDescent="0.35">
      <c r="B29" s="13" t="s">
        <v>13</v>
      </c>
      <c r="C29" s="1">
        <v>1568227.2000000002</v>
      </c>
      <c r="J29" s="82" t="s">
        <v>125</v>
      </c>
      <c r="K29" s="82"/>
      <c r="L29" s="82"/>
      <c r="O29" s="15"/>
    </row>
    <row r="30" spans="2:15" x14ac:dyDescent="0.35">
      <c r="B30" s="13" t="s">
        <v>16</v>
      </c>
      <c r="C30" s="1">
        <v>1411861.5</v>
      </c>
      <c r="E30" s="13" t="s">
        <v>132</v>
      </c>
      <c r="O30" s="15"/>
    </row>
    <row r="31" spans="2:15" x14ac:dyDescent="0.35">
      <c r="B31" s="13" t="s">
        <v>15</v>
      </c>
      <c r="C31" s="1">
        <v>777674</v>
      </c>
      <c r="E31" s="13" t="s">
        <v>133</v>
      </c>
      <c r="J31" s="29" t="s">
        <v>122</v>
      </c>
      <c r="K31" s="33" t="s">
        <v>111</v>
      </c>
      <c r="L31" s="29" t="s">
        <v>126</v>
      </c>
      <c r="O31" s="15"/>
    </row>
    <row r="32" spans="2:15" x14ac:dyDescent="0.35">
      <c r="B32" s="31" t="s">
        <v>110</v>
      </c>
      <c r="C32" s="30">
        <v>6750869</v>
      </c>
      <c r="E32" s="13" t="s">
        <v>134</v>
      </c>
      <c r="J32" s="13" t="s">
        <v>33</v>
      </c>
      <c r="K32" s="1">
        <v>1990251.5</v>
      </c>
      <c r="L32">
        <v>75</v>
      </c>
      <c r="O32" s="15"/>
    </row>
    <row r="33" spans="2:15" x14ac:dyDescent="0.35">
      <c r="E33" s="13" t="s">
        <v>135</v>
      </c>
      <c r="J33" s="13" t="s">
        <v>34</v>
      </c>
      <c r="K33" s="1">
        <v>1902831.6</v>
      </c>
      <c r="L33">
        <v>72</v>
      </c>
      <c r="O33" s="15"/>
    </row>
    <row r="34" spans="2:15" x14ac:dyDescent="0.35">
      <c r="J34" s="13" t="s">
        <v>35</v>
      </c>
      <c r="K34" s="1">
        <v>1441242.4</v>
      </c>
      <c r="L34">
        <v>76</v>
      </c>
      <c r="O34" s="15"/>
    </row>
    <row r="35" spans="2:15" x14ac:dyDescent="0.35">
      <c r="J35" s="13" t="s">
        <v>32</v>
      </c>
      <c r="K35" s="1">
        <v>1416543.5</v>
      </c>
      <c r="L35">
        <v>77</v>
      </c>
      <c r="O35" s="15"/>
    </row>
    <row r="36" spans="2:15" x14ac:dyDescent="0.35">
      <c r="J36" s="31" t="s">
        <v>110</v>
      </c>
      <c r="K36" s="30">
        <v>6750868.9999999991</v>
      </c>
      <c r="L36" s="29">
        <v>300</v>
      </c>
    </row>
    <row r="40" spans="2:15" x14ac:dyDescent="0.35">
      <c r="B40" s="4"/>
      <c r="C40" s="4"/>
    </row>
    <row r="41" spans="2:15" x14ac:dyDescent="0.35">
      <c r="B41" s="5"/>
      <c r="C41" s="18"/>
      <c r="K41" s="17"/>
    </row>
    <row r="42" spans="2:15" x14ac:dyDescent="0.35">
      <c r="B42" s="5"/>
      <c r="C42" s="7"/>
    </row>
    <row r="43" spans="2:15" x14ac:dyDescent="0.35">
      <c r="B43" s="5"/>
      <c r="C43" s="7"/>
    </row>
    <row r="44" spans="2:15" x14ac:dyDescent="0.35">
      <c r="B44" s="5"/>
      <c r="C44" s="18"/>
    </row>
    <row r="45" spans="2:15" x14ac:dyDescent="0.35">
      <c r="B45" s="5"/>
      <c r="C45" s="18"/>
    </row>
    <row r="86" spans="2:9" ht="18.5" x14ac:dyDescent="0.35">
      <c r="B86" s="81" t="s">
        <v>123</v>
      </c>
      <c r="C86" s="81"/>
      <c r="D86" s="81"/>
      <c r="E86" s="81"/>
    </row>
    <row r="87" spans="2:9" x14ac:dyDescent="0.35">
      <c r="B87" s="72"/>
      <c r="C87" s="72"/>
      <c r="D87" s="72"/>
      <c r="E87" s="72"/>
    </row>
    <row r="88" spans="2:9" ht="18.5" x14ac:dyDescent="0.35">
      <c r="B88" s="73" t="s">
        <v>136</v>
      </c>
      <c r="C88" s="72" t="s">
        <v>111</v>
      </c>
      <c r="D88" s="72"/>
      <c r="E88" s="72"/>
      <c r="F88" s="81" t="s">
        <v>121</v>
      </c>
      <c r="G88" s="81"/>
      <c r="H88" s="81"/>
      <c r="I88" s="81"/>
    </row>
    <row r="89" spans="2:9" x14ac:dyDescent="0.35">
      <c r="B89" s="74" t="s">
        <v>36</v>
      </c>
      <c r="C89" s="75">
        <v>3581369</v>
      </c>
      <c r="D89" s="72"/>
      <c r="E89" s="72"/>
      <c r="F89" s="72"/>
      <c r="G89" s="72"/>
      <c r="H89" s="72"/>
      <c r="I89" s="72"/>
    </row>
    <row r="90" spans="2:9" x14ac:dyDescent="0.35">
      <c r="B90" s="74" t="s">
        <v>42</v>
      </c>
      <c r="C90" s="75">
        <v>2726120</v>
      </c>
      <c r="D90" s="72"/>
      <c r="E90" s="72"/>
      <c r="F90" s="72" t="s">
        <v>114</v>
      </c>
      <c r="G90" s="72" t="s">
        <v>116</v>
      </c>
      <c r="H90" s="72"/>
      <c r="I90" s="72"/>
    </row>
    <row r="91" spans="2:9" x14ac:dyDescent="0.35">
      <c r="B91" s="74" t="s">
        <v>48</v>
      </c>
      <c r="C91" s="75">
        <v>443379.99999999994</v>
      </c>
      <c r="D91" s="72"/>
      <c r="E91" s="72"/>
      <c r="F91" s="74" t="s">
        <v>37</v>
      </c>
      <c r="G91" s="75">
        <v>2277000</v>
      </c>
      <c r="H91" s="72"/>
      <c r="I91" s="72"/>
    </row>
    <row r="92" spans="2:9" x14ac:dyDescent="0.35">
      <c r="B92" s="74" t="s">
        <v>110</v>
      </c>
      <c r="C92" s="75">
        <v>6750869</v>
      </c>
      <c r="D92" s="72"/>
      <c r="E92" s="72"/>
      <c r="F92" s="74" t="s">
        <v>47</v>
      </c>
      <c r="G92" s="75">
        <v>892125</v>
      </c>
      <c r="H92" s="72"/>
      <c r="I92" s="72"/>
    </row>
    <row r="93" spans="2:9" x14ac:dyDescent="0.35">
      <c r="B93" s="72"/>
      <c r="C93" s="72"/>
      <c r="D93" s="72"/>
      <c r="E93" s="72"/>
      <c r="F93" s="74" t="s">
        <v>44</v>
      </c>
      <c r="G93" s="75">
        <v>809370</v>
      </c>
      <c r="H93" s="72"/>
      <c r="I93" s="72"/>
    </row>
    <row r="94" spans="2:9" x14ac:dyDescent="0.35">
      <c r="F94" s="74" t="s">
        <v>38</v>
      </c>
      <c r="G94" s="75">
        <v>703500</v>
      </c>
      <c r="H94" s="72"/>
      <c r="I94" s="72"/>
    </row>
    <row r="95" spans="2:9" x14ac:dyDescent="0.35">
      <c r="F95" s="74" t="s">
        <v>39</v>
      </c>
      <c r="G95" s="75">
        <v>470250</v>
      </c>
      <c r="H95" s="72"/>
      <c r="I95" s="72"/>
    </row>
    <row r="96" spans="2:9" x14ac:dyDescent="0.35">
      <c r="F96" s="74" t="s">
        <v>110</v>
      </c>
      <c r="G96" s="75">
        <v>5152245</v>
      </c>
      <c r="H96" s="72"/>
      <c r="I96" s="72"/>
    </row>
  </sheetData>
  <mergeCells count="11">
    <mergeCell ref="B86:E86"/>
    <mergeCell ref="F88:I88"/>
    <mergeCell ref="J29:L29"/>
    <mergeCell ref="J11:M11"/>
    <mergeCell ref="Q2:T2"/>
    <mergeCell ref="B2:C2"/>
    <mergeCell ref="B25:C25"/>
    <mergeCell ref="E2:H2"/>
    <mergeCell ref="E20:H20"/>
    <mergeCell ref="J20:M20"/>
    <mergeCell ref="J2:M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ADC176-1862-4A3B-8E38-54AC9FB8BB4D}">
  <dimension ref="A1:Z3"/>
  <sheetViews>
    <sheetView showGridLines="0" showRowColHeaders="0" zoomScale="74" zoomScaleNormal="240" workbookViewId="0">
      <selection activeCell="AI42" sqref="AI42"/>
    </sheetView>
  </sheetViews>
  <sheetFormatPr defaultRowHeight="14.5" x14ac:dyDescent="0.35"/>
  <sheetData>
    <row r="1" spans="1:26" x14ac:dyDescent="0.35">
      <c r="A1" s="15"/>
      <c r="B1" s="15"/>
      <c r="C1" s="15"/>
      <c r="D1" s="15"/>
      <c r="E1" s="15"/>
      <c r="F1" s="15"/>
      <c r="G1" s="15"/>
      <c r="H1" s="15"/>
      <c r="I1" s="15"/>
      <c r="J1" s="15"/>
      <c r="K1" s="15"/>
      <c r="L1" s="15"/>
      <c r="M1" s="15"/>
      <c r="N1" s="15"/>
      <c r="O1" s="15"/>
      <c r="P1" s="15"/>
      <c r="Q1" s="15"/>
      <c r="R1" s="15"/>
      <c r="S1" s="15"/>
      <c r="T1" s="15"/>
      <c r="U1" s="15"/>
      <c r="V1" s="15"/>
      <c r="W1" s="15"/>
      <c r="X1" s="15"/>
      <c r="Y1" s="15"/>
      <c r="Z1" s="15"/>
    </row>
    <row r="2" spans="1:26" ht="32.5" x14ac:dyDescent="0.85">
      <c r="A2" s="15"/>
      <c r="B2" s="15"/>
      <c r="C2" s="15"/>
      <c r="D2" s="15"/>
      <c r="E2" s="15"/>
      <c r="F2" s="15"/>
      <c r="G2" s="78" t="s">
        <v>131</v>
      </c>
      <c r="H2" s="79"/>
      <c r="I2" s="79"/>
      <c r="J2" s="79"/>
      <c r="K2" s="79"/>
      <c r="L2" s="79"/>
      <c r="M2" s="79"/>
      <c r="N2" s="79"/>
      <c r="O2" s="79"/>
      <c r="P2" s="79"/>
      <c r="Q2" s="79"/>
      <c r="R2" s="79"/>
      <c r="S2" s="79"/>
      <c r="T2" s="15"/>
      <c r="U2" s="15"/>
      <c r="V2" s="15"/>
      <c r="W2" s="15"/>
      <c r="X2" s="15"/>
      <c r="Y2" s="15"/>
      <c r="Z2" s="15"/>
    </row>
    <row r="3" spans="1:26" x14ac:dyDescent="0.35">
      <c r="A3" s="15"/>
      <c r="B3" s="15"/>
      <c r="C3" s="15"/>
      <c r="D3" s="15"/>
      <c r="E3" s="15"/>
      <c r="F3" s="15"/>
      <c r="G3" s="15"/>
      <c r="H3" s="15"/>
      <c r="I3" s="15"/>
      <c r="J3" s="15"/>
      <c r="K3" s="15"/>
      <c r="L3" s="15"/>
      <c r="M3" s="15"/>
      <c r="N3" s="15"/>
      <c r="O3" s="15"/>
      <c r="P3" s="15"/>
      <c r="Q3" s="15"/>
      <c r="R3" s="15"/>
      <c r="S3" s="15"/>
      <c r="T3" s="15"/>
      <c r="U3" s="15"/>
      <c r="V3" s="15"/>
      <c r="W3" s="15"/>
      <c r="X3" s="15"/>
      <c r="Y3" s="15"/>
      <c r="Z3" s="15"/>
    </row>
  </sheetData>
  <sheetProtection algorithmName="SHA-512" hashValue="a1IO0SNLkgPgMLRSxieO3E1+N3O9i2JjSgrkj5T/YKFv6wLmRZqsYuVzJJfgL6rUdI8kWRxkZqfadBXYp5OUOQ==" saltValue="X6V4xoMxJ7q7jyS4/oQ1qw==" spinCount="100000" sheet="1" selectLockedCells="1" pivotTables="0" selectUnlockedCells="1"/>
  <mergeCells count="1">
    <mergeCell ref="G2:S2"/>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5C425-D49C-44A9-8A49-410280C94A90}">
  <dimension ref="A2:Q296"/>
  <sheetViews>
    <sheetView topLeftCell="A4" zoomScale="77" workbookViewId="0">
      <selection activeCell="M49" sqref="M49"/>
    </sheetView>
  </sheetViews>
  <sheetFormatPr defaultRowHeight="14.5" x14ac:dyDescent="0.35"/>
  <cols>
    <col min="1" max="1" width="5.81640625" customWidth="1"/>
    <col min="2" max="2" width="21.1796875" customWidth="1"/>
    <col min="3" max="3" width="24.26953125" customWidth="1"/>
    <col min="4" max="4" width="23" customWidth="1"/>
    <col min="5" max="5" width="12.36328125" customWidth="1"/>
  </cols>
  <sheetData>
    <row r="2" spans="2:14" ht="31" x14ac:dyDescent="0.7">
      <c r="B2" s="87" t="s">
        <v>143</v>
      </c>
      <c r="C2" s="87"/>
      <c r="D2" s="87"/>
      <c r="E2" s="87"/>
    </row>
    <row r="4" spans="2:14" ht="31" x14ac:dyDescent="0.7">
      <c r="B4" s="100" t="s">
        <v>144</v>
      </c>
    </row>
    <row r="5" spans="2:14" x14ac:dyDescent="0.35">
      <c r="B5" s="67"/>
    </row>
    <row r="6" spans="2:14" x14ac:dyDescent="0.35">
      <c r="B6" s="96" t="s">
        <v>192</v>
      </c>
      <c r="C6" s="96"/>
      <c r="D6" s="96"/>
      <c r="E6" s="96"/>
      <c r="F6" s="96"/>
      <c r="G6" s="96"/>
      <c r="H6" s="96"/>
      <c r="I6" s="96"/>
      <c r="J6" s="96"/>
      <c r="K6" s="96"/>
      <c r="L6" s="96"/>
      <c r="M6" s="96"/>
      <c r="N6" s="96"/>
    </row>
    <row r="7" spans="2:14" x14ac:dyDescent="0.35">
      <c r="B7" s="96"/>
      <c r="C7" s="97"/>
      <c r="D7" s="97"/>
      <c r="E7" s="97"/>
      <c r="F7" s="97"/>
      <c r="G7" s="97"/>
      <c r="H7" s="97"/>
      <c r="I7" s="97"/>
      <c r="J7" s="97"/>
      <c r="K7" s="97"/>
      <c r="L7" s="97"/>
      <c r="M7" s="97"/>
      <c r="N7" s="97"/>
    </row>
    <row r="8" spans="2:14" x14ac:dyDescent="0.35">
      <c r="B8" s="96" t="s">
        <v>253</v>
      </c>
      <c r="C8" s="96"/>
      <c r="D8" s="96"/>
      <c r="E8" s="96"/>
      <c r="F8" s="96"/>
      <c r="G8" s="96"/>
      <c r="H8" s="96"/>
      <c r="I8" s="96"/>
      <c r="J8" s="96"/>
      <c r="K8" s="96"/>
      <c r="L8" s="96"/>
      <c r="M8" s="96"/>
      <c r="N8" s="96"/>
    </row>
    <row r="9" spans="2:14" x14ac:dyDescent="0.35">
      <c r="B9" s="96"/>
      <c r="C9" s="97"/>
      <c r="D9" s="97"/>
      <c r="E9" s="97"/>
      <c r="F9" s="97"/>
      <c r="G9" s="97"/>
      <c r="H9" s="97"/>
      <c r="I9" s="97"/>
      <c r="J9" s="97"/>
      <c r="K9" s="97"/>
      <c r="L9" s="97"/>
      <c r="M9" s="97"/>
      <c r="N9" s="97"/>
    </row>
    <row r="10" spans="2:14" x14ac:dyDescent="0.35">
      <c r="B10" s="96" t="s">
        <v>193</v>
      </c>
      <c r="C10" s="96"/>
      <c r="D10" s="96"/>
      <c r="E10" s="96"/>
      <c r="F10" s="96"/>
      <c r="G10" s="96"/>
      <c r="H10" s="96"/>
      <c r="I10" s="96"/>
      <c r="J10" s="96"/>
      <c r="K10" s="96"/>
      <c r="L10" s="96"/>
      <c r="M10" s="96"/>
      <c r="N10" s="96"/>
    </row>
    <row r="11" spans="2:14" x14ac:dyDescent="0.35">
      <c r="B11" s="96"/>
      <c r="C11" s="96"/>
      <c r="D11" s="96"/>
      <c r="E11" s="96"/>
      <c r="F11" s="96"/>
      <c r="G11" s="96"/>
      <c r="H11" s="96"/>
      <c r="I11" s="96"/>
      <c r="J11" s="96"/>
      <c r="K11" s="96"/>
      <c r="L11" s="96"/>
      <c r="M11" s="96"/>
      <c r="N11" s="96"/>
    </row>
    <row r="12" spans="2:14" ht="31" x14ac:dyDescent="0.7">
      <c r="B12" s="100" t="s">
        <v>145</v>
      </c>
    </row>
    <row r="14" spans="2:14" ht="18.5" x14ac:dyDescent="0.45">
      <c r="B14" s="68" t="s">
        <v>146</v>
      </c>
      <c r="C14" s="68" t="s">
        <v>147</v>
      </c>
      <c r="H14" s="70"/>
    </row>
    <row r="15" spans="2:14" x14ac:dyDescent="0.35">
      <c r="B15" s="69" t="s">
        <v>152</v>
      </c>
      <c r="C15" s="69" t="s">
        <v>148</v>
      </c>
    </row>
    <row r="16" spans="2:14" x14ac:dyDescent="0.35">
      <c r="B16" s="69" t="s">
        <v>153</v>
      </c>
      <c r="C16" s="69">
        <v>300</v>
      </c>
    </row>
    <row r="17" spans="1:17" ht="31" x14ac:dyDescent="0.7">
      <c r="B17" s="69" t="s">
        <v>154</v>
      </c>
      <c r="C17" s="69" t="s">
        <v>149</v>
      </c>
      <c r="D17" s="99"/>
    </row>
    <row r="18" spans="1:17" x14ac:dyDescent="0.35">
      <c r="B18" s="69" t="s">
        <v>155</v>
      </c>
      <c r="C18" s="69" t="s">
        <v>150</v>
      </c>
    </row>
    <row r="19" spans="1:17" x14ac:dyDescent="0.35">
      <c r="B19" s="69" t="s">
        <v>156</v>
      </c>
      <c r="C19" s="69" t="s">
        <v>151</v>
      </c>
    </row>
    <row r="21" spans="1:17" ht="31" x14ac:dyDescent="0.35">
      <c r="A21" s="4"/>
      <c r="B21" s="98" t="s">
        <v>254</v>
      </c>
      <c r="C21" s="98"/>
      <c r="D21" s="98"/>
      <c r="E21" s="98"/>
    </row>
    <row r="22" spans="1:17" x14ac:dyDescent="0.35">
      <c r="A22" s="5"/>
      <c r="B22" s="91"/>
      <c r="C22" s="91"/>
      <c r="D22" s="91"/>
      <c r="E22" s="91"/>
    </row>
    <row r="23" spans="1:17" ht="17.5" x14ac:dyDescent="0.35">
      <c r="A23" s="5"/>
      <c r="B23" s="86" t="s">
        <v>194</v>
      </c>
      <c r="C23" s="86"/>
      <c r="D23" s="86"/>
      <c r="E23" s="86"/>
      <c r="F23" s="86" t="s">
        <v>204</v>
      </c>
      <c r="G23" s="86"/>
      <c r="H23" s="86"/>
      <c r="I23" s="86"/>
      <c r="J23" s="86"/>
      <c r="K23" s="86"/>
      <c r="L23" s="86" t="s">
        <v>211</v>
      </c>
      <c r="M23" s="86"/>
      <c r="N23" s="86"/>
      <c r="O23" s="86"/>
      <c r="P23" s="86"/>
      <c r="Q23" s="86"/>
    </row>
    <row r="24" spans="1:17" x14ac:dyDescent="0.35">
      <c r="A24" s="5"/>
      <c r="B24" s="91"/>
      <c r="C24" s="91"/>
      <c r="D24" s="91"/>
      <c r="E24" s="91"/>
      <c r="F24" s="91"/>
      <c r="G24" s="91"/>
      <c r="H24" s="91"/>
      <c r="I24" s="91"/>
      <c r="J24" s="91"/>
      <c r="K24" s="91"/>
      <c r="L24" s="91"/>
      <c r="M24" s="91"/>
      <c r="N24" s="91"/>
      <c r="O24" s="91"/>
      <c r="P24" s="91"/>
      <c r="Q24" s="91"/>
    </row>
    <row r="25" spans="1:17" x14ac:dyDescent="0.35">
      <c r="A25" s="5"/>
      <c r="B25" s="91" t="s">
        <v>195</v>
      </c>
      <c r="C25" s="91"/>
      <c r="D25" s="91"/>
      <c r="E25" s="91"/>
      <c r="F25" s="91" t="s">
        <v>205</v>
      </c>
      <c r="G25" s="91"/>
      <c r="H25" s="91"/>
      <c r="I25" s="91"/>
      <c r="J25" s="91"/>
      <c r="K25" s="91"/>
      <c r="L25" s="91" t="s">
        <v>212</v>
      </c>
      <c r="M25" s="91"/>
      <c r="N25" s="91"/>
      <c r="O25" s="91"/>
      <c r="P25" s="91"/>
      <c r="Q25" s="91"/>
    </row>
    <row r="26" spans="1:17" x14ac:dyDescent="0.35">
      <c r="A26" s="5"/>
      <c r="B26" s="88"/>
      <c r="C26" s="88"/>
      <c r="D26" s="88"/>
      <c r="E26" s="88"/>
      <c r="F26" s="91"/>
      <c r="G26" s="91"/>
      <c r="H26" s="91"/>
      <c r="I26" s="91"/>
      <c r="J26" s="91"/>
      <c r="K26" s="91"/>
      <c r="L26" s="88"/>
      <c r="M26" s="88"/>
      <c r="N26" s="88"/>
      <c r="O26" s="88"/>
      <c r="P26" s="88"/>
      <c r="Q26" s="88"/>
    </row>
    <row r="27" spans="1:17" ht="17.5" x14ac:dyDescent="0.35">
      <c r="A27" s="5"/>
      <c r="B27" s="92" t="s">
        <v>196</v>
      </c>
      <c r="C27" s="92"/>
      <c r="D27" s="92"/>
      <c r="E27" s="92"/>
      <c r="F27" s="86" t="s">
        <v>206</v>
      </c>
      <c r="G27" s="86"/>
      <c r="H27" s="86"/>
      <c r="I27" s="86"/>
      <c r="J27" s="86"/>
      <c r="K27" s="86"/>
      <c r="L27" s="88" t="s">
        <v>213</v>
      </c>
      <c r="M27" s="88"/>
      <c r="N27" s="88"/>
      <c r="O27" s="88"/>
      <c r="P27" s="88"/>
      <c r="Q27" s="88"/>
    </row>
    <row r="28" spans="1:17" x14ac:dyDescent="0.35">
      <c r="A28" s="5"/>
      <c r="B28" s="88"/>
      <c r="C28" s="88"/>
      <c r="D28" s="88"/>
      <c r="E28" s="88"/>
      <c r="F28" s="91"/>
      <c r="G28" s="91"/>
      <c r="H28" s="91"/>
      <c r="I28" s="91"/>
      <c r="J28" s="91"/>
      <c r="K28" s="91"/>
      <c r="L28" s="88"/>
      <c r="M28" s="88"/>
      <c r="N28" s="88"/>
      <c r="O28" s="88"/>
      <c r="P28" s="88"/>
      <c r="Q28" s="88"/>
    </row>
    <row r="29" spans="1:17" x14ac:dyDescent="0.35">
      <c r="A29" s="5"/>
      <c r="B29" s="92" t="s">
        <v>197</v>
      </c>
      <c r="C29" s="92"/>
      <c r="D29" s="92"/>
      <c r="E29" s="92"/>
      <c r="F29" s="91" t="s">
        <v>207</v>
      </c>
      <c r="G29" s="91"/>
      <c r="H29" s="91"/>
      <c r="I29" s="91"/>
      <c r="J29" s="91"/>
      <c r="K29" s="91"/>
      <c r="L29" s="88" t="s">
        <v>214</v>
      </c>
      <c r="M29" s="88"/>
      <c r="N29" s="88"/>
      <c r="O29" s="88"/>
      <c r="P29" s="88"/>
      <c r="Q29" s="88"/>
    </row>
    <row r="30" spans="1:17" x14ac:dyDescent="0.35">
      <c r="B30" s="88"/>
      <c r="C30" s="88"/>
      <c r="D30" s="88"/>
      <c r="E30" s="88"/>
      <c r="F30" s="88"/>
      <c r="G30" s="88"/>
      <c r="H30" s="88"/>
      <c r="I30" s="88"/>
      <c r="J30" s="88"/>
      <c r="K30" s="88"/>
      <c r="L30" s="88"/>
      <c r="M30" s="88"/>
      <c r="N30" s="88"/>
      <c r="O30" s="88"/>
      <c r="P30" s="88"/>
      <c r="Q30" s="88"/>
    </row>
    <row r="31" spans="1:17" x14ac:dyDescent="0.35">
      <c r="B31" s="92" t="s">
        <v>198</v>
      </c>
      <c r="C31" s="92"/>
      <c r="D31" s="92"/>
      <c r="E31" s="92"/>
      <c r="F31" s="88" t="s">
        <v>29</v>
      </c>
      <c r="G31" s="88"/>
      <c r="H31" s="88"/>
      <c r="I31" s="88"/>
      <c r="J31" s="88"/>
      <c r="K31" s="88"/>
      <c r="L31" s="88" t="s">
        <v>215</v>
      </c>
      <c r="M31" s="88"/>
      <c r="N31" s="88"/>
      <c r="O31" s="88"/>
      <c r="P31" s="88"/>
      <c r="Q31" s="88"/>
    </row>
    <row r="32" spans="1:17" x14ac:dyDescent="0.35">
      <c r="B32" s="88"/>
      <c r="C32" s="88"/>
      <c r="D32" s="88"/>
      <c r="E32" s="88"/>
      <c r="F32" s="88"/>
      <c r="G32" s="88"/>
      <c r="H32" s="88"/>
      <c r="I32" s="88"/>
      <c r="J32" s="88"/>
      <c r="K32" s="88"/>
      <c r="L32" s="88"/>
      <c r="M32" s="88"/>
      <c r="N32" s="88"/>
      <c r="O32" s="88"/>
      <c r="P32" s="88"/>
      <c r="Q32" s="88"/>
    </row>
    <row r="33" spans="2:17" x14ac:dyDescent="0.35">
      <c r="B33" s="92" t="s">
        <v>199</v>
      </c>
      <c r="C33" s="92"/>
      <c r="D33" s="92"/>
      <c r="E33" s="92"/>
      <c r="F33" s="88" t="s">
        <v>31</v>
      </c>
      <c r="G33" s="88"/>
      <c r="H33" s="88"/>
      <c r="I33" s="88"/>
      <c r="J33" s="88"/>
      <c r="K33" s="88"/>
      <c r="L33" s="88" t="s">
        <v>216</v>
      </c>
      <c r="M33" s="88"/>
      <c r="N33" s="88"/>
      <c r="O33" s="88"/>
      <c r="P33" s="88"/>
      <c r="Q33" s="88"/>
    </row>
    <row r="34" spans="2:17" x14ac:dyDescent="0.35">
      <c r="B34" s="91"/>
      <c r="C34" s="91"/>
      <c r="D34" s="91"/>
      <c r="E34" s="91"/>
      <c r="F34" s="88"/>
      <c r="G34" s="88"/>
      <c r="H34" s="88"/>
      <c r="I34" s="88"/>
      <c r="J34" s="88"/>
      <c r="K34" s="88"/>
      <c r="L34" s="88"/>
      <c r="M34" s="88"/>
      <c r="N34" s="88"/>
      <c r="O34" s="88"/>
      <c r="P34" s="88"/>
      <c r="Q34" s="88"/>
    </row>
    <row r="35" spans="2:17" ht="17.5" x14ac:dyDescent="0.35">
      <c r="B35" s="86" t="s">
        <v>200</v>
      </c>
      <c r="C35" s="86"/>
      <c r="D35" s="86"/>
      <c r="E35" s="86"/>
      <c r="F35" s="88" t="s">
        <v>30</v>
      </c>
      <c r="G35" s="88"/>
      <c r="H35" s="88"/>
      <c r="I35" s="88"/>
      <c r="J35" s="88"/>
      <c r="K35" s="88"/>
      <c r="L35" s="88" t="s">
        <v>217</v>
      </c>
      <c r="M35" s="88"/>
      <c r="N35" s="88"/>
      <c r="O35" s="88"/>
      <c r="P35" s="88"/>
      <c r="Q35" s="88"/>
    </row>
    <row r="36" spans="2:17" x14ac:dyDescent="0.35">
      <c r="B36" s="91"/>
      <c r="C36" s="91"/>
      <c r="D36" s="91"/>
      <c r="E36" s="91"/>
      <c r="F36" s="91"/>
      <c r="G36" s="91"/>
      <c r="H36" s="91"/>
      <c r="I36" s="91"/>
      <c r="J36" s="91"/>
      <c r="K36" s="91"/>
      <c r="L36" s="88"/>
      <c r="M36" s="88"/>
      <c r="N36" s="88"/>
      <c r="O36" s="88"/>
      <c r="P36" s="88"/>
      <c r="Q36" s="88"/>
    </row>
    <row r="37" spans="2:17" ht="17.5" x14ac:dyDescent="0.35">
      <c r="B37" s="91" t="s">
        <v>201</v>
      </c>
      <c r="C37" s="91"/>
      <c r="D37" s="91"/>
      <c r="E37" s="91"/>
      <c r="F37" s="86" t="s">
        <v>208</v>
      </c>
      <c r="G37" s="86"/>
      <c r="H37" s="86"/>
      <c r="I37" s="86"/>
      <c r="J37" s="86"/>
      <c r="K37" s="86"/>
      <c r="L37" s="88" t="s">
        <v>218</v>
      </c>
      <c r="M37" s="88"/>
      <c r="N37" s="88"/>
      <c r="O37" s="88"/>
      <c r="P37" s="88"/>
      <c r="Q37" s="88"/>
    </row>
    <row r="38" spans="2:17" x14ac:dyDescent="0.35">
      <c r="B38" s="91"/>
      <c r="C38" s="91"/>
      <c r="D38" s="91"/>
      <c r="E38" s="91"/>
      <c r="F38" s="91"/>
      <c r="G38" s="91"/>
      <c r="H38" s="91"/>
      <c r="I38" s="91"/>
      <c r="J38" s="91"/>
      <c r="K38" s="91"/>
      <c r="L38" s="88"/>
      <c r="M38" s="88"/>
      <c r="N38" s="88"/>
      <c r="O38" s="88"/>
      <c r="P38" s="88"/>
      <c r="Q38" s="88"/>
    </row>
    <row r="39" spans="2:17" ht="17.5" x14ac:dyDescent="0.35">
      <c r="B39" s="86" t="s">
        <v>202</v>
      </c>
      <c r="C39" s="86"/>
      <c r="D39" s="86"/>
      <c r="E39" s="86"/>
      <c r="F39" s="91" t="s">
        <v>209</v>
      </c>
      <c r="G39" s="91"/>
      <c r="H39" s="91"/>
      <c r="I39" s="91"/>
      <c r="J39" s="91"/>
      <c r="K39" s="91"/>
      <c r="L39" s="88" t="s">
        <v>219</v>
      </c>
      <c r="M39" s="88"/>
      <c r="N39" s="88"/>
      <c r="O39" s="88"/>
      <c r="P39" s="88"/>
      <c r="Q39" s="88"/>
    </row>
    <row r="40" spans="2:17" x14ac:dyDescent="0.35">
      <c r="B40" s="91"/>
      <c r="C40" s="91"/>
      <c r="D40" s="91"/>
      <c r="E40" s="91"/>
      <c r="F40" s="88"/>
      <c r="G40" s="88"/>
      <c r="H40" s="88"/>
      <c r="I40" s="88"/>
      <c r="J40" s="88"/>
      <c r="K40" s="88"/>
      <c r="L40" s="88"/>
      <c r="M40" s="88"/>
      <c r="N40" s="88"/>
      <c r="O40" s="88"/>
      <c r="P40" s="88"/>
      <c r="Q40" s="88"/>
    </row>
    <row r="41" spans="2:17" x14ac:dyDescent="0.35">
      <c r="B41" s="91" t="s">
        <v>203</v>
      </c>
      <c r="C41" s="91"/>
      <c r="D41" s="91"/>
      <c r="E41" s="91"/>
      <c r="F41" s="88" t="s">
        <v>97</v>
      </c>
      <c r="G41" s="88"/>
      <c r="H41" s="88"/>
      <c r="I41" s="88"/>
      <c r="J41" s="88"/>
      <c r="K41" s="88"/>
      <c r="L41" s="88" t="s">
        <v>220</v>
      </c>
      <c r="M41" s="88"/>
      <c r="N41" s="88"/>
      <c r="O41" s="88"/>
      <c r="P41" s="88"/>
      <c r="Q41" s="88"/>
    </row>
    <row r="42" spans="2:17" x14ac:dyDescent="0.35">
      <c r="B42" s="88"/>
      <c r="C42" s="88"/>
      <c r="D42" s="88"/>
      <c r="E42" s="88"/>
      <c r="F42" s="88"/>
      <c r="G42" s="88"/>
      <c r="H42" s="88"/>
      <c r="I42" s="88"/>
      <c r="J42" s="88"/>
      <c r="K42" s="88"/>
      <c r="L42" s="91"/>
      <c r="M42" s="91"/>
      <c r="N42" s="91"/>
      <c r="O42" s="91"/>
      <c r="P42" s="91"/>
      <c r="Q42" s="91"/>
    </row>
    <row r="43" spans="2:17" x14ac:dyDescent="0.35">
      <c r="B43" s="88" t="s">
        <v>14</v>
      </c>
      <c r="C43" s="88"/>
      <c r="D43" s="88"/>
      <c r="E43" s="88"/>
      <c r="F43" s="88" t="s">
        <v>210</v>
      </c>
      <c r="G43" s="88"/>
      <c r="H43" s="88"/>
      <c r="I43" s="88"/>
      <c r="J43" s="88"/>
      <c r="K43" s="88"/>
      <c r="L43" s="91" t="s">
        <v>221</v>
      </c>
      <c r="M43" s="91"/>
      <c r="N43" s="91"/>
      <c r="O43" s="91"/>
      <c r="P43" s="91"/>
      <c r="Q43" s="91"/>
    </row>
    <row r="44" spans="2:17" x14ac:dyDescent="0.35">
      <c r="B44" s="88"/>
      <c r="C44" s="88"/>
      <c r="D44" s="88"/>
      <c r="E44" s="88"/>
      <c r="F44" s="88"/>
      <c r="G44" s="88"/>
      <c r="H44" s="88"/>
      <c r="I44" s="88"/>
      <c r="J44" s="88"/>
      <c r="K44" s="88"/>
    </row>
    <row r="45" spans="2:17" x14ac:dyDescent="0.35">
      <c r="B45" s="88" t="s">
        <v>13</v>
      </c>
      <c r="C45" s="88"/>
      <c r="D45" s="88"/>
      <c r="E45" s="88"/>
      <c r="F45" s="88" t="s">
        <v>172</v>
      </c>
      <c r="G45" s="88"/>
      <c r="H45" s="88"/>
      <c r="I45" s="88"/>
      <c r="J45" s="88"/>
      <c r="K45" s="88"/>
    </row>
    <row r="46" spans="2:17" x14ac:dyDescent="0.35">
      <c r="B46" s="88"/>
      <c r="C46" s="88"/>
      <c r="D46" s="88"/>
      <c r="E46" s="88"/>
      <c r="F46" s="91"/>
      <c r="G46" s="91"/>
      <c r="H46" s="91"/>
      <c r="I46" s="91"/>
      <c r="J46" s="91"/>
      <c r="K46" s="91"/>
    </row>
    <row r="47" spans="2:17" x14ac:dyDescent="0.35">
      <c r="B47" s="88" t="s">
        <v>16</v>
      </c>
      <c r="C47" s="88"/>
      <c r="D47" s="88"/>
      <c r="E47" s="88"/>
      <c r="F47" s="91"/>
      <c r="G47" s="91"/>
      <c r="H47" s="91"/>
      <c r="I47" s="91"/>
      <c r="J47" s="91"/>
      <c r="K47" s="91"/>
    </row>
    <row r="48" spans="2:17" x14ac:dyDescent="0.35">
      <c r="B48" s="88"/>
      <c r="C48" s="88"/>
      <c r="D48" s="88"/>
      <c r="E48" s="88"/>
      <c r="F48" s="91"/>
      <c r="G48" s="91"/>
      <c r="H48" s="91"/>
      <c r="I48" s="91"/>
      <c r="J48" s="91"/>
      <c r="K48" s="91"/>
    </row>
    <row r="49" spans="2:11" x14ac:dyDescent="0.35">
      <c r="B49" s="88" t="s">
        <v>15</v>
      </c>
      <c r="C49" s="88"/>
      <c r="D49" s="88"/>
      <c r="E49" s="88"/>
      <c r="F49" s="91"/>
      <c r="G49" s="91"/>
      <c r="H49" s="91"/>
      <c r="I49" s="91"/>
      <c r="J49" s="91"/>
      <c r="K49" s="91"/>
    </row>
    <row r="262" spans="2:5" ht="17.5" x14ac:dyDescent="0.35">
      <c r="B262" s="86" t="s">
        <v>157</v>
      </c>
      <c r="C262" s="86"/>
      <c r="D262" s="86" t="s">
        <v>168</v>
      </c>
      <c r="E262" s="86"/>
    </row>
    <row r="263" spans="2:5" x14ac:dyDescent="0.35">
      <c r="B263" s="88"/>
      <c r="C263" s="88"/>
      <c r="D263" s="88"/>
      <c r="E263" s="88"/>
    </row>
    <row r="264" spans="2:5" ht="18.5" x14ac:dyDescent="0.35">
      <c r="B264" s="84" t="s">
        <v>158</v>
      </c>
      <c r="C264" s="84"/>
      <c r="D264" s="84" t="s">
        <v>169</v>
      </c>
      <c r="E264" s="84"/>
    </row>
    <row r="265" spans="2:5" ht="18.5" x14ac:dyDescent="0.35">
      <c r="B265" s="84" t="s">
        <v>159</v>
      </c>
      <c r="C265" s="84"/>
      <c r="D265" s="84" t="s">
        <v>170</v>
      </c>
      <c r="E265" s="84"/>
    </row>
    <row r="266" spans="2:5" ht="18.5" x14ac:dyDescent="0.35">
      <c r="B266" s="84" t="s">
        <v>160</v>
      </c>
      <c r="C266" s="84"/>
      <c r="D266" s="84" t="s">
        <v>171</v>
      </c>
      <c r="E266" s="84"/>
    </row>
    <row r="267" spans="2:5" ht="18.5" x14ac:dyDescent="0.35">
      <c r="B267" s="84" t="s">
        <v>161</v>
      </c>
      <c r="C267" s="84"/>
      <c r="D267" s="84" t="s">
        <v>172</v>
      </c>
      <c r="E267" s="84"/>
    </row>
    <row r="268" spans="2:5" ht="18.5" x14ac:dyDescent="0.35">
      <c r="B268" s="84" t="s">
        <v>162</v>
      </c>
      <c r="C268" s="84"/>
      <c r="D268" s="84" t="s">
        <v>96</v>
      </c>
      <c r="E268" s="84"/>
    </row>
    <row r="269" spans="2:5" ht="18.5" x14ac:dyDescent="0.35">
      <c r="B269" s="84" t="s">
        <v>163</v>
      </c>
      <c r="C269" s="84"/>
    </row>
    <row r="270" spans="2:5" ht="18.5" x14ac:dyDescent="0.35">
      <c r="B270" s="84" t="s">
        <v>164</v>
      </c>
      <c r="C270" s="84"/>
    </row>
    <row r="271" spans="2:5" ht="18.5" x14ac:dyDescent="0.35">
      <c r="B271" s="84" t="s">
        <v>165</v>
      </c>
      <c r="C271" s="84"/>
    </row>
    <row r="272" spans="2:5" ht="18.5" x14ac:dyDescent="0.35">
      <c r="B272" s="84" t="s">
        <v>166</v>
      </c>
      <c r="C272" s="84"/>
    </row>
    <row r="273" spans="2:3" ht="18.5" x14ac:dyDescent="0.35">
      <c r="B273" s="84" t="s">
        <v>167</v>
      </c>
      <c r="C273" s="84"/>
    </row>
    <row r="275" spans="2:3" ht="17.5" x14ac:dyDescent="0.35">
      <c r="B275" s="86" t="s">
        <v>173</v>
      </c>
      <c r="C275" s="86"/>
    </row>
    <row r="276" spans="2:3" x14ac:dyDescent="0.35">
      <c r="B276" s="88"/>
      <c r="C276" s="88"/>
    </row>
    <row r="277" spans="2:3" ht="18.5" x14ac:dyDescent="0.35">
      <c r="B277" s="84" t="s">
        <v>174</v>
      </c>
      <c r="C277" s="84"/>
    </row>
    <row r="278" spans="2:3" ht="18.5" x14ac:dyDescent="0.35">
      <c r="B278" s="84" t="s">
        <v>175</v>
      </c>
      <c r="C278" s="84"/>
    </row>
    <row r="279" spans="2:3" ht="18.5" x14ac:dyDescent="0.35">
      <c r="B279" s="84" t="s">
        <v>176</v>
      </c>
      <c r="C279" s="84"/>
    </row>
    <row r="280" spans="2:3" ht="18.5" x14ac:dyDescent="0.35">
      <c r="B280" s="84" t="s">
        <v>177</v>
      </c>
      <c r="C280" s="84"/>
    </row>
    <row r="281" spans="2:3" ht="18.5" x14ac:dyDescent="0.35">
      <c r="B281" s="84" t="s">
        <v>178</v>
      </c>
      <c r="C281" s="84"/>
    </row>
    <row r="282" spans="2:3" ht="18.5" x14ac:dyDescent="0.35">
      <c r="B282" s="84" t="s">
        <v>179</v>
      </c>
      <c r="C282" s="84"/>
    </row>
    <row r="283" spans="2:3" ht="18.5" x14ac:dyDescent="0.35">
      <c r="B283" s="84" t="s">
        <v>180</v>
      </c>
      <c r="C283" s="84"/>
    </row>
    <row r="284" spans="2:3" ht="18.5" x14ac:dyDescent="0.35">
      <c r="B284" s="84" t="s">
        <v>181</v>
      </c>
      <c r="C284" s="84"/>
    </row>
    <row r="285" spans="2:3" ht="18.5" x14ac:dyDescent="0.35">
      <c r="B285" s="84" t="s">
        <v>182</v>
      </c>
      <c r="C285" s="84"/>
    </row>
    <row r="286" spans="2:3" ht="18.5" x14ac:dyDescent="0.35">
      <c r="B286" s="84" t="s">
        <v>183</v>
      </c>
      <c r="C286" s="84"/>
    </row>
    <row r="287" spans="2:3" ht="18.5" x14ac:dyDescent="0.35">
      <c r="B287" s="84" t="s">
        <v>184</v>
      </c>
      <c r="C287" s="84"/>
    </row>
    <row r="288" spans="2:3" ht="18.5" x14ac:dyDescent="0.35">
      <c r="B288" s="84" t="s">
        <v>185</v>
      </c>
      <c r="C288" s="84"/>
    </row>
    <row r="289" spans="2:11" ht="18.5" x14ac:dyDescent="0.35">
      <c r="B289" s="84" t="s">
        <v>186</v>
      </c>
      <c r="C289" s="84"/>
    </row>
    <row r="290" spans="2:11" ht="18.5" x14ac:dyDescent="0.35">
      <c r="B290" s="84" t="s">
        <v>187</v>
      </c>
      <c r="C290" s="84"/>
    </row>
    <row r="291" spans="2:11" ht="18.5" x14ac:dyDescent="0.35">
      <c r="B291" s="84" t="s">
        <v>188</v>
      </c>
      <c r="C291" s="84"/>
    </row>
    <row r="292" spans="2:11" ht="18.5" x14ac:dyDescent="0.45">
      <c r="B292" s="85" t="s">
        <v>190</v>
      </c>
      <c r="C292" s="85"/>
    </row>
    <row r="293" spans="2:11" x14ac:dyDescent="0.35">
      <c r="B293" s="67"/>
    </row>
    <row r="294" spans="2:11" ht="17.5" x14ac:dyDescent="0.35">
      <c r="B294" s="86" t="s">
        <v>191</v>
      </c>
      <c r="C294" s="86"/>
    </row>
    <row r="296" spans="2:11" ht="18.5" x14ac:dyDescent="0.45">
      <c r="B296" s="85" t="s">
        <v>189</v>
      </c>
      <c r="C296" s="85"/>
      <c r="D296" s="85"/>
      <c r="E296" s="85"/>
      <c r="F296" s="85"/>
      <c r="G296" s="85"/>
      <c r="H296" s="85"/>
      <c r="I296" s="85"/>
      <c r="J296" s="85"/>
      <c r="K296" s="85"/>
    </row>
  </sheetData>
  <mergeCells count="117">
    <mergeCell ref="L43:Q43"/>
    <mergeCell ref="L38:Q38"/>
    <mergeCell ref="L39:Q39"/>
    <mergeCell ref="L40:Q40"/>
    <mergeCell ref="L41:Q41"/>
    <mergeCell ref="L42:Q42"/>
    <mergeCell ref="L33:Q33"/>
    <mergeCell ref="L34:Q34"/>
    <mergeCell ref="L35:Q35"/>
    <mergeCell ref="L36:Q36"/>
    <mergeCell ref="L37:Q37"/>
    <mergeCell ref="L28:Q28"/>
    <mergeCell ref="L29:Q29"/>
    <mergeCell ref="L30:Q30"/>
    <mergeCell ref="L31:Q31"/>
    <mergeCell ref="L32:Q32"/>
    <mergeCell ref="L23:Q23"/>
    <mergeCell ref="L24:Q24"/>
    <mergeCell ref="L25:Q25"/>
    <mergeCell ref="L26:Q26"/>
    <mergeCell ref="L27:Q27"/>
    <mergeCell ref="F45:K45"/>
    <mergeCell ref="F46:K46"/>
    <mergeCell ref="F47:K47"/>
    <mergeCell ref="F48:K48"/>
    <mergeCell ref="F49:K49"/>
    <mergeCell ref="F40:K40"/>
    <mergeCell ref="F41:K41"/>
    <mergeCell ref="F42:K42"/>
    <mergeCell ref="F43:K43"/>
    <mergeCell ref="F44:K44"/>
    <mergeCell ref="F35:K35"/>
    <mergeCell ref="F36:K36"/>
    <mergeCell ref="F37:K37"/>
    <mergeCell ref="F38:K38"/>
    <mergeCell ref="F39:K39"/>
    <mergeCell ref="B46:E46"/>
    <mergeCell ref="B47:E47"/>
    <mergeCell ref="B48:E48"/>
    <mergeCell ref="B49:E49"/>
    <mergeCell ref="F23:K23"/>
    <mergeCell ref="F24:K24"/>
    <mergeCell ref="F25:K25"/>
    <mergeCell ref="F26:K26"/>
    <mergeCell ref="F27:K27"/>
    <mergeCell ref="F28:K28"/>
    <mergeCell ref="F29:K29"/>
    <mergeCell ref="F30:K30"/>
    <mergeCell ref="F31:K31"/>
    <mergeCell ref="F32:K32"/>
    <mergeCell ref="F33:K33"/>
    <mergeCell ref="F34:K34"/>
    <mergeCell ref="B41:E41"/>
    <mergeCell ref="B42:E42"/>
    <mergeCell ref="B43:E43"/>
    <mergeCell ref="B44:E44"/>
    <mergeCell ref="B45:E45"/>
    <mergeCell ref="B36:E36"/>
    <mergeCell ref="B37:E37"/>
    <mergeCell ref="B38:E38"/>
    <mergeCell ref="B39:E39"/>
    <mergeCell ref="B40:E40"/>
    <mergeCell ref="B31:E31"/>
    <mergeCell ref="B32:E32"/>
    <mergeCell ref="B33:E33"/>
    <mergeCell ref="B34:E34"/>
    <mergeCell ref="B35:E35"/>
    <mergeCell ref="B26:E26"/>
    <mergeCell ref="B27:E27"/>
    <mergeCell ref="B28:E28"/>
    <mergeCell ref="B29:E29"/>
    <mergeCell ref="B30:E30"/>
    <mergeCell ref="B21:E21"/>
    <mergeCell ref="B22:E22"/>
    <mergeCell ref="B23:E23"/>
    <mergeCell ref="B24:E24"/>
    <mergeCell ref="B25:E25"/>
    <mergeCell ref="B2:E2"/>
    <mergeCell ref="B294:C294"/>
    <mergeCell ref="B289:C289"/>
    <mergeCell ref="B290:C290"/>
    <mergeCell ref="B291:C291"/>
    <mergeCell ref="B292:C292"/>
    <mergeCell ref="B275:C275"/>
    <mergeCell ref="B263:C263"/>
    <mergeCell ref="D263:E263"/>
    <mergeCell ref="B276:C276"/>
    <mergeCell ref="B270:C270"/>
    <mergeCell ref="B271:C271"/>
    <mergeCell ref="B272:C272"/>
    <mergeCell ref="B273:C273"/>
    <mergeCell ref="D264:E264"/>
    <mergeCell ref="D265:E265"/>
    <mergeCell ref="B296:K296"/>
    <mergeCell ref="B283:C283"/>
    <mergeCell ref="B284:C284"/>
    <mergeCell ref="B285:C285"/>
    <mergeCell ref="B286:C286"/>
    <mergeCell ref="B287:C287"/>
    <mergeCell ref="B288:C288"/>
    <mergeCell ref="B277:C277"/>
    <mergeCell ref="B278:C278"/>
    <mergeCell ref="B279:C279"/>
    <mergeCell ref="B280:C280"/>
    <mergeCell ref="B281:C281"/>
    <mergeCell ref="B282:C282"/>
    <mergeCell ref="B262:C262"/>
    <mergeCell ref="D262:E262"/>
    <mergeCell ref="B269:C269"/>
    <mergeCell ref="D266:E266"/>
    <mergeCell ref="D267:E267"/>
    <mergeCell ref="D268:E268"/>
    <mergeCell ref="B264:C264"/>
    <mergeCell ref="B265:C265"/>
    <mergeCell ref="B266:C266"/>
    <mergeCell ref="B267:C267"/>
    <mergeCell ref="B268:C268"/>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D1AACF-F6BD-472B-944F-4FC74291DEFA}">
  <dimension ref="A2:Z279"/>
  <sheetViews>
    <sheetView showGridLines="0" tabSelected="1" topLeftCell="A2" zoomScale="70" zoomScaleNormal="100" workbookViewId="0">
      <selection activeCell="B56" sqref="B56:T56"/>
    </sheetView>
  </sheetViews>
  <sheetFormatPr defaultRowHeight="14.5" x14ac:dyDescent="0.35"/>
  <cols>
    <col min="1" max="1" width="4.90625" customWidth="1"/>
    <col min="2" max="2" width="24.26953125" customWidth="1"/>
    <col min="15" max="15" width="31" customWidth="1"/>
    <col min="25" max="25" width="27.6328125" customWidth="1"/>
  </cols>
  <sheetData>
    <row r="2" spans="2:25" ht="31" x14ac:dyDescent="0.35">
      <c r="B2" s="102" t="s">
        <v>255</v>
      </c>
      <c r="C2" s="102"/>
      <c r="D2" s="102"/>
      <c r="E2" s="102"/>
      <c r="F2" s="97"/>
      <c r="G2" s="97"/>
      <c r="H2" s="97"/>
      <c r="I2" s="97"/>
      <c r="J2" s="97"/>
      <c r="K2" s="97"/>
      <c r="L2" s="97"/>
    </row>
    <row r="3" spans="2:25" x14ac:dyDescent="0.35">
      <c r="B3" s="97"/>
      <c r="C3" s="97"/>
      <c r="D3" s="97"/>
      <c r="E3" s="97"/>
      <c r="F3" s="97"/>
      <c r="G3" s="97"/>
      <c r="H3" s="97"/>
      <c r="I3" s="97"/>
      <c r="J3" s="97"/>
      <c r="K3" s="97"/>
      <c r="L3" s="97"/>
    </row>
    <row r="4" spans="2:25" x14ac:dyDescent="0.35">
      <c r="B4" s="105"/>
      <c r="C4" s="105"/>
      <c r="D4" s="105"/>
      <c r="E4" s="105"/>
      <c r="F4" s="105"/>
      <c r="G4" s="97"/>
      <c r="H4" s="97"/>
      <c r="I4" s="97"/>
      <c r="J4" s="97"/>
      <c r="K4" s="97"/>
      <c r="L4" s="97"/>
    </row>
    <row r="5" spans="2:25" x14ac:dyDescent="0.35">
      <c r="B5" s="97"/>
      <c r="C5" s="97"/>
      <c r="D5" s="97"/>
      <c r="E5" s="97"/>
      <c r="F5" s="97"/>
      <c r="G5" s="97"/>
      <c r="H5" s="97"/>
      <c r="I5" s="97"/>
      <c r="J5" s="97"/>
      <c r="K5" s="97"/>
      <c r="L5" s="97"/>
    </row>
    <row r="6" spans="2:25" ht="17.5" x14ac:dyDescent="0.35">
      <c r="B6" s="103" t="s">
        <v>222</v>
      </c>
      <c r="C6" s="97"/>
      <c r="D6" s="97"/>
      <c r="E6" s="97"/>
      <c r="F6" s="97"/>
      <c r="G6" s="97"/>
      <c r="H6" s="97"/>
      <c r="I6" s="97"/>
      <c r="J6" s="97"/>
      <c r="K6" s="97"/>
      <c r="L6" s="97"/>
      <c r="O6" s="104" t="s">
        <v>232</v>
      </c>
    </row>
    <row r="7" spans="2:25" x14ac:dyDescent="0.35">
      <c r="B7" s="97"/>
      <c r="C7" s="97"/>
      <c r="D7" s="97"/>
      <c r="E7" s="97"/>
      <c r="F7" s="97"/>
      <c r="G7" s="97"/>
      <c r="H7" s="97"/>
      <c r="I7" s="97"/>
      <c r="J7" s="97"/>
      <c r="K7" s="97"/>
      <c r="L7" s="97"/>
    </row>
    <row r="8" spans="2:25" ht="18.5" x14ac:dyDescent="0.45">
      <c r="B8" s="108" t="s">
        <v>256</v>
      </c>
      <c r="C8" s="108"/>
      <c r="D8" s="108"/>
      <c r="E8" s="108"/>
      <c r="F8" s="108"/>
      <c r="G8" s="108"/>
      <c r="H8" s="108"/>
      <c r="I8" s="108"/>
      <c r="J8" s="108"/>
      <c r="K8" s="108"/>
      <c r="L8" s="108"/>
      <c r="O8" s="85" t="s">
        <v>233</v>
      </c>
      <c r="P8" s="85"/>
      <c r="Q8" s="85"/>
      <c r="R8" s="85"/>
      <c r="S8" s="85"/>
      <c r="T8" s="85"/>
      <c r="U8" s="85"/>
      <c r="V8" s="85"/>
      <c r="W8" s="85"/>
      <c r="X8" s="85"/>
      <c r="Y8" s="85"/>
    </row>
    <row r="9" spans="2:25" x14ac:dyDescent="0.35">
      <c r="B9" s="106"/>
      <c r="C9" s="106"/>
      <c r="D9" s="106"/>
      <c r="E9" s="106"/>
      <c r="F9" s="106"/>
      <c r="G9" s="106"/>
      <c r="H9" s="106"/>
      <c r="I9" s="106"/>
      <c r="J9" s="106"/>
      <c r="K9" s="106"/>
      <c r="L9" s="106"/>
      <c r="O9" s="88"/>
      <c r="P9" s="88"/>
      <c r="Q9" s="88"/>
      <c r="R9" s="88"/>
      <c r="S9" s="88"/>
      <c r="T9" s="88"/>
      <c r="U9" s="88"/>
      <c r="V9" s="88"/>
      <c r="W9" s="88"/>
      <c r="X9" s="88"/>
      <c r="Y9" s="88"/>
    </row>
    <row r="10" spans="2:25" ht="18.5" x14ac:dyDescent="0.35">
      <c r="B10" s="109" t="s">
        <v>223</v>
      </c>
      <c r="C10" s="109"/>
      <c r="D10" s="109"/>
      <c r="E10" s="109"/>
      <c r="F10" s="109"/>
      <c r="G10" s="109"/>
      <c r="H10" s="109"/>
      <c r="I10" s="109"/>
      <c r="J10" s="109"/>
      <c r="K10" s="109"/>
      <c r="L10" s="109"/>
      <c r="O10" s="93" t="s">
        <v>234</v>
      </c>
      <c r="P10" s="93"/>
      <c r="Q10" s="93"/>
      <c r="R10" s="93"/>
      <c r="S10" s="93"/>
      <c r="T10" s="93"/>
      <c r="U10" s="93"/>
      <c r="V10" s="93"/>
      <c r="W10" s="93"/>
      <c r="X10" s="93"/>
      <c r="Y10" s="93"/>
    </row>
    <row r="11" spans="2:25" x14ac:dyDescent="0.35">
      <c r="B11" s="105"/>
      <c r="C11" s="105"/>
      <c r="D11" s="105"/>
      <c r="E11" s="105"/>
      <c r="F11" s="105"/>
      <c r="G11" s="105"/>
      <c r="H11" s="105"/>
      <c r="I11" s="105"/>
      <c r="J11" s="105"/>
      <c r="K11" s="105"/>
      <c r="L11" s="105"/>
      <c r="O11" s="91"/>
      <c r="P11" s="91"/>
      <c r="Q11" s="91"/>
      <c r="R11" s="91"/>
      <c r="S11" s="91"/>
      <c r="T11" s="91"/>
      <c r="U11" s="91"/>
      <c r="V11" s="91"/>
      <c r="W11" s="91"/>
      <c r="X11" s="91"/>
      <c r="Y11" s="91"/>
    </row>
    <row r="12" spans="2:25" ht="18.5" x14ac:dyDescent="0.45">
      <c r="B12" s="110" t="s">
        <v>257</v>
      </c>
      <c r="C12" s="110"/>
      <c r="D12" s="110"/>
      <c r="E12" s="110"/>
      <c r="F12" s="110"/>
      <c r="G12" s="110"/>
      <c r="H12" s="110"/>
      <c r="I12" s="110"/>
      <c r="J12" s="110"/>
      <c r="K12" s="110"/>
      <c r="L12" s="110"/>
      <c r="M12" s="67"/>
      <c r="N12" s="67"/>
      <c r="O12" s="85" t="s">
        <v>262</v>
      </c>
      <c r="P12" s="85"/>
      <c r="Q12" s="85"/>
      <c r="R12" s="85"/>
      <c r="S12" s="85"/>
      <c r="T12" s="85"/>
      <c r="U12" s="85"/>
      <c r="V12" s="85"/>
      <c r="W12" s="85"/>
      <c r="X12" s="85"/>
      <c r="Y12" s="85"/>
    </row>
    <row r="13" spans="2:25" x14ac:dyDescent="0.35">
      <c r="B13" s="105"/>
      <c r="C13" s="105"/>
      <c r="D13" s="105"/>
      <c r="E13" s="105"/>
      <c r="F13" s="105"/>
      <c r="G13" s="105"/>
      <c r="H13" s="105"/>
      <c r="I13" s="105"/>
      <c r="J13" s="105"/>
      <c r="K13" s="105"/>
      <c r="L13" s="105"/>
      <c r="M13" s="101"/>
      <c r="N13" s="101"/>
      <c r="O13" s="91"/>
      <c r="P13" s="91"/>
      <c r="Q13" s="91"/>
      <c r="R13" s="91"/>
      <c r="S13" s="91"/>
      <c r="T13" s="91"/>
      <c r="U13" s="91"/>
      <c r="V13" s="91"/>
      <c r="W13" s="91"/>
      <c r="X13" s="91"/>
      <c r="Y13" s="91"/>
    </row>
    <row r="14" spans="2:25" ht="18.5" x14ac:dyDescent="0.45">
      <c r="B14" s="108" t="s">
        <v>258</v>
      </c>
      <c r="C14" s="108"/>
      <c r="D14" s="108"/>
      <c r="E14" s="108"/>
      <c r="F14" s="108"/>
      <c r="G14" s="108"/>
      <c r="H14" s="108"/>
      <c r="I14" s="108"/>
      <c r="J14" s="108"/>
      <c r="K14" s="108"/>
      <c r="L14" s="108"/>
      <c r="O14" s="112" t="s">
        <v>263</v>
      </c>
      <c r="P14" s="112"/>
      <c r="Q14" s="112"/>
      <c r="R14" s="112"/>
      <c r="S14" s="112"/>
      <c r="T14" s="112"/>
      <c r="U14" s="112"/>
      <c r="V14" s="112"/>
      <c r="W14" s="112"/>
      <c r="X14" s="112"/>
      <c r="Y14" s="112"/>
    </row>
    <row r="15" spans="2:25" x14ac:dyDescent="0.35">
      <c r="B15" s="97"/>
      <c r="C15" s="97"/>
      <c r="D15" s="97"/>
      <c r="E15" s="97"/>
      <c r="F15" s="97"/>
      <c r="G15" s="97"/>
      <c r="H15" s="97"/>
      <c r="I15" s="97"/>
      <c r="J15" s="97"/>
      <c r="K15" s="97"/>
      <c r="L15" s="97"/>
      <c r="O15" s="91"/>
      <c r="P15" s="91"/>
      <c r="Q15" s="91"/>
      <c r="R15" s="91"/>
      <c r="S15" s="91"/>
      <c r="T15" s="91"/>
      <c r="U15" s="91"/>
      <c r="V15" s="91"/>
      <c r="W15" s="91"/>
      <c r="X15" s="91"/>
      <c r="Y15" s="91"/>
    </row>
    <row r="16" spans="2:25" x14ac:dyDescent="0.35">
      <c r="B16" s="97"/>
      <c r="C16" s="97"/>
      <c r="D16" s="97"/>
      <c r="E16" s="97"/>
      <c r="F16" s="97"/>
      <c r="G16" s="97"/>
      <c r="H16" s="97"/>
      <c r="I16" s="97"/>
      <c r="J16" s="97"/>
      <c r="K16" s="97"/>
      <c r="L16" s="97"/>
    </row>
    <row r="17" spans="2:26" ht="18.5" x14ac:dyDescent="0.45">
      <c r="B17" s="97"/>
      <c r="C17" s="97"/>
      <c r="D17" s="97"/>
      <c r="E17" s="97"/>
      <c r="F17" s="107"/>
      <c r="G17" s="97"/>
      <c r="H17" s="97"/>
      <c r="I17" s="97"/>
      <c r="J17" s="97"/>
      <c r="K17" s="97"/>
      <c r="L17" s="97"/>
    </row>
    <row r="18" spans="2:26" ht="17.5" x14ac:dyDescent="0.35">
      <c r="B18" s="103" t="s">
        <v>224</v>
      </c>
      <c r="C18" s="97"/>
      <c r="D18" s="97"/>
      <c r="E18" s="97"/>
      <c r="F18" s="97"/>
      <c r="G18" s="97"/>
      <c r="H18" s="97"/>
      <c r="I18" s="97"/>
      <c r="J18" s="97"/>
      <c r="K18" s="97"/>
      <c r="L18" s="97"/>
      <c r="O18" s="104" t="s">
        <v>235</v>
      </c>
    </row>
    <row r="19" spans="2:26" x14ac:dyDescent="0.35">
      <c r="B19" s="97"/>
      <c r="C19" s="97"/>
      <c r="D19" s="97"/>
      <c r="E19" s="97"/>
      <c r="F19" s="97"/>
      <c r="G19" s="97"/>
      <c r="H19" s="97"/>
      <c r="I19" s="97"/>
      <c r="J19" s="97"/>
      <c r="K19" s="97"/>
      <c r="L19" s="97"/>
    </row>
    <row r="20" spans="2:26" ht="18.5" x14ac:dyDescent="0.45">
      <c r="B20" s="108" t="s">
        <v>259</v>
      </c>
      <c r="C20" s="108"/>
      <c r="D20" s="108"/>
      <c r="E20" s="108"/>
      <c r="F20" s="108"/>
      <c r="G20" s="108"/>
      <c r="H20" s="108"/>
      <c r="I20" s="108"/>
      <c r="J20" s="108"/>
      <c r="K20" s="108"/>
      <c r="L20" s="97"/>
      <c r="O20" s="112" t="s">
        <v>264</v>
      </c>
      <c r="P20" s="112"/>
      <c r="Q20" s="112"/>
      <c r="R20" s="112"/>
      <c r="S20" s="112"/>
      <c r="T20" s="112"/>
      <c r="U20" s="112"/>
      <c r="V20" s="112"/>
      <c r="W20" s="112"/>
      <c r="X20" s="112"/>
      <c r="Y20" s="112"/>
      <c r="Z20" s="112"/>
    </row>
    <row r="21" spans="2:26" x14ac:dyDescent="0.35">
      <c r="B21" s="106"/>
      <c r="C21" s="106"/>
      <c r="D21" s="106"/>
      <c r="E21" s="106"/>
      <c r="F21" s="106"/>
      <c r="G21" s="106"/>
      <c r="H21" s="106"/>
      <c r="I21" s="106"/>
      <c r="J21" s="106"/>
      <c r="K21" s="106"/>
      <c r="L21" s="97"/>
      <c r="O21" s="88"/>
      <c r="P21" s="88"/>
      <c r="Q21" s="88"/>
      <c r="R21" s="88"/>
      <c r="S21" s="88"/>
      <c r="T21" s="88"/>
      <c r="U21" s="88"/>
      <c r="V21" s="88"/>
      <c r="W21" s="88"/>
      <c r="X21" s="88"/>
      <c r="Y21" s="88"/>
      <c r="Z21" s="88"/>
    </row>
    <row r="22" spans="2:26" ht="18.5" x14ac:dyDescent="0.35">
      <c r="B22" s="109" t="s">
        <v>225</v>
      </c>
      <c r="C22" s="109"/>
      <c r="D22" s="109"/>
      <c r="E22" s="109"/>
      <c r="F22" s="109"/>
      <c r="G22" s="109"/>
      <c r="H22" s="109"/>
      <c r="I22" s="109"/>
      <c r="J22" s="109"/>
      <c r="K22" s="109"/>
      <c r="L22" s="97"/>
      <c r="O22" s="113">
        <v>2993106.3</v>
      </c>
      <c r="P22" s="113"/>
      <c r="Q22" s="113"/>
      <c r="R22" s="113"/>
      <c r="S22" s="113"/>
      <c r="T22" s="113"/>
      <c r="U22" s="113"/>
      <c r="V22" s="113"/>
      <c r="W22" s="113"/>
      <c r="X22" s="113"/>
      <c r="Y22" s="113"/>
      <c r="Z22" s="113"/>
    </row>
    <row r="23" spans="2:26" ht="18.5" x14ac:dyDescent="0.45">
      <c r="B23" s="110"/>
      <c r="C23" s="110"/>
      <c r="D23" s="110"/>
      <c r="E23" s="110"/>
      <c r="F23" s="110"/>
      <c r="G23" s="110"/>
      <c r="H23" s="110"/>
      <c r="I23" s="110"/>
      <c r="J23" s="110"/>
      <c r="K23" s="110"/>
      <c r="L23" s="97"/>
      <c r="O23" s="91"/>
      <c r="P23" s="91"/>
      <c r="Q23" s="91"/>
      <c r="R23" s="91"/>
      <c r="S23" s="91"/>
      <c r="T23" s="91"/>
      <c r="U23" s="91"/>
      <c r="V23" s="91"/>
      <c r="W23" s="91"/>
      <c r="X23" s="91"/>
      <c r="Y23" s="91"/>
      <c r="Z23" s="91"/>
    </row>
    <row r="24" spans="2:26" ht="18.5" x14ac:dyDescent="0.45">
      <c r="B24" s="110" t="s">
        <v>226</v>
      </c>
      <c r="C24" s="110"/>
      <c r="D24" s="110"/>
      <c r="E24" s="110"/>
      <c r="F24" s="110"/>
      <c r="G24" s="110"/>
      <c r="H24" s="110"/>
      <c r="I24" s="110"/>
      <c r="J24" s="110"/>
      <c r="K24" s="110"/>
      <c r="L24" s="97"/>
      <c r="O24" s="85" t="s">
        <v>236</v>
      </c>
      <c r="P24" s="85"/>
      <c r="Q24" s="85"/>
      <c r="R24" s="85"/>
      <c r="S24" s="85"/>
      <c r="T24" s="85"/>
      <c r="U24" s="85"/>
      <c r="V24" s="85"/>
      <c r="W24" s="85"/>
      <c r="X24" s="85"/>
      <c r="Y24" s="85"/>
      <c r="Z24" s="85"/>
    </row>
    <row r="25" spans="2:26" x14ac:dyDescent="0.35">
      <c r="B25" s="106"/>
      <c r="C25" s="106"/>
      <c r="D25" s="106"/>
      <c r="E25" s="106"/>
      <c r="F25" s="106"/>
      <c r="G25" s="106"/>
      <c r="H25" s="106"/>
      <c r="I25" s="106"/>
      <c r="J25" s="106"/>
      <c r="K25" s="106"/>
      <c r="L25" s="97"/>
      <c r="O25" s="88"/>
      <c r="P25" s="88"/>
      <c r="Q25" s="88"/>
      <c r="R25" s="88"/>
      <c r="S25" s="88"/>
      <c r="T25" s="88"/>
      <c r="U25" s="88"/>
      <c r="V25" s="88"/>
      <c r="W25" s="88"/>
      <c r="X25" s="88"/>
      <c r="Y25" s="88"/>
      <c r="Z25" s="88"/>
    </row>
    <row r="26" spans="2:26" ht="18.5" x14ac:dyDescent="0.35">
      <c r="B26" s="111" t="s">
        <v>227</v>
      </c>
      <c r="C26" s="111"/>
      <c r="D26" s="111"/>
      <c r="E26" s="111"/>
      <c r="F26" s="111"/>
      <c r="G26" s="111"/>
      <c r="H26" s="111"/>
      <c r="I26" s="111"/>
      <c r="J26" s="111"/>
      <c r="K26" s="111"/>
      <c r="L26" s="97"/>
      <c r="O26" s="84" t="s">
        <v>237</v>
      </c>
      <c r="P26" s="84"/>
      <c r="Q26" s="84"/>
      <c r="R26" s="84"/>
      <c r="S26" s="84"/>
      <c r="T26" s="84"/>
      <c r="U26" s="84"/>
      <c r="V26" s="84"/>
      <c r="W26" s="84"/>
      <c r="X26" s="84"/>
      <c r="Y26" s="84"/>
      <c r="Z26" s="84"/>
    </row>
    <row r="27" spans="2:26" x14ac:dyDescent="0.35">
      <c r="B27" s="106"/>
      <c r="C27" s="106"/>
      <c r="D27" s="106"/>
      <c r="E27" s="106"/>
      <c r="F27" s="106"/>
      <c r="G27" s="106"/>
      <c r="H27" s="106"/>
      <c r="I27" s="106"/>
      <c r="J27" s="106"/>
      <c r="K27" s="106"/>
      <c r="L27" s="97"/>
      <c r="O27" s="88"/>
      <c r="P27" s="88"/>
      <c r="Q27" s="88"/>
      <c r="R27" s="88"/>
      <c r="S27" s="88"/>
      <c r="T27" s="88"/>
      <c r="U27" s="88"/>
      <c r="V27" s="88"/>
      <c r="W27" s="88"/>
      <c r="X27" s="88"/>
      <c r="Y27" s="88"/>
      <c r="Z27" s="88"/>
    </row>
    <row r="28" spans="2:26" ht="18.5" x14ac:dyDescent="0.35">
      <c r="B28" s="111" t="s">
        <v>228</v>
      </c>
      <c r="C28" s="111"/>
      <c r="D28" s="111"/>
      <c r="E28" s="111"/>
      <c r="F28" s="111"/>
      <c r="G28" s="111"/>
      <c r="H28" s="111"/>
      <c r="I28" s="111"/>
      <c r="J28" s="111"/>
      <c r="K28" s="111"/>
      <c r="L28" s="97"/>
      <c r="O28" s="84" t="s">
        <v>238</v>
      </c>
      <c r="P28" s="84"/>
      <c r="Q28" s="84"/>
      <c r="R28" s="84"/>
      <c r="S28" s="84"/>
      <c r="T28" s="84"/>
      <c r="U28" s="84"/>
      <c r="V28" s="84"/>
      <c r="W28" s="84"/>
      <c r="X28" s="84"/>
      <c r="Y28" s="84"/>
      <c r="Z28" s="84"/>
    </row>
    <row r="29" spans="2:26" x14ac:dyDescent="0.35">
      <c r="B29" s="106"/>
      <c r="C29" s="106"/>
      <c r="D29" s="106"/>
      <c r="E29" s="106"/>
      <c r="F29" s="106"/>
      <c r="G29" s="106"/>
      <c r="H29" s="106"/>
      <c r="I29" s="106"/>
      <c r="J29" s="106"/>
      <c r="K29" s="106"/>
      <c r="L29" s="97"/>
      <c r="O29" s="88"/>
      <c r="P29" s="88"/>
      <c r="Q29" s="88"/>
      <c r="R29" s="88"/>
      <c r="S29" s="88"/>
      <c r="T29" s="88"/>
      <c r="U29" s="88"/>
      <c r="V29" s="88"/>
      <c r="W29" s="88"/>
      <c r="X29" s="88"/>
      <c r="Y29" s="88"/>
      <c r="Z29" s="88"/>
    </row>
    <row r="30" spans="2:26" ht="18.5" x14ac:dyDescent="0.35">
      <c r="B30" s="111" t="s">
        <v>229</v>
      </c>
      <c r="C30" s="111"/>
      <c r="D30" s="111"/>
      <c r="E30" s="111"/>
      <c r="F30" s="111"/>
      <c r="G30" s="111"/>
      <c r="H30" s="111"/>
      <c r="I30" s="111"/>
      <c r="J30" s="111"/>
      <c r="K30" s="111"/>
      <c r="L30" s="97"/>
      <c r="O30" s="84" t="s">
        <v>239</v>
      </c>
      <c r="P30" s="84"/>
      <c r="Q30" s="84"/>
      <c r="R30" s="84"/>
      <c r="S30" s="84"/>
      <c r="T30" s="84"/>
      <c r="U30" s="84"/>
      <c r="V30" s="84"/>
      <c r="W30" s="84"/>
      <c r="X30" s="84"/>
      <c r="Y30" s="84"/>
      <c r="Z30" s="84"/>
    </row>
    <row r="31" spans="2:26" x14ac:dyDescent="0.35">
      <c r="B31" s="106"/>
      <c r="C31" s="106"/>
      <c r="D31" s="106"/>
      <c r="E31" s="106"/>
      <c r="F31" s="106"/>
      <c r="G31" s="106"/>
      <c r="H31" s="106"/>
      <c r="I31" s="106"/>
      <c r="J31" s="106"/>
      <c r="K31" s="106"/>
      <c r="L31" s="97"/>
      <c r="O31" s="91"/>
      <c r="P31" s="91"/>
      <c r="Q31" s="91"/>
      <c r="R31" s="91"/>
      <c r="S31" s="91"/>
      <c r="T31" s="91"/>
      <c r="U31" s="91"/>
      <c r="V31" s="91"/>
      <c r="W31" s="91"/>
      <c r="X31" s="91"/>
      <c r="Y31" s="91"/>
      <c r="Z31" s="91"/>
    </row>
    <row r="32" spans="2:26" ht="18.5" x14ac:dyDescent="0.45">
      <c r="B32" s="111" t="s">
        <v>230</v>
      </c>
      <c r="C32" s="111"/>
      <c r="D32" s="111"/>
      <c r="E32" s="111"/>
      <c r="F32" s="111"/>
      <c r="G32" s="111"/>
      <c r="H32" s="111"/>
      <c r="I32" s="111"/>
      <c r="J32" s="111"/>
      <c r="K32" s="111"/>
      <c r="L32" s="97"/>
      <c r="O32" s="112" t="s">
        <v>265</v>
      </c>
      <c r="P32" s="112"/>
      <c r="Q32" s="112"/>
      <c r="R32" s="112"/>
      <c r="S32" s="112"/>
      <c r="T32" s="112"/>
      <c r="U32" s="112"/>
      <c r="V32" s="112"/>
      <c r="W32" s="112"/>
      <c r="X32" s="112"/>
      <c r="Y32" s="112"/>
      <c r="Z32" s="112"/>
    </row>
    <row r="33" spans="2:22" ht="18.5" x14ac:dyDescent="0.35">
      <c r="B33" s="111"/>
      <c r="C33" s="111"/>
      <c r="D33" s="111"/>
      <c r="E33" s="111"/>
      <c r="F33" s="111"/>
      <c r="G33" s="111"/>
      <c r="H33" s="111"/>
      <c r="I33" s="111"/>
      <c r="J33" s="111"/>
      <c r="K33" s="111"/>
      <c r="L33" s="97"/>
    </row>
    <row r="34" spans="2:22" ht="18.5" x14ac:dyDescent="0.35">
      <c r="B34" s="111" t="s">
        <v>231</v>
      </c>
      <c r="C34" s="111"/>
      <c r="D34" s="111"/>
      <c r="E34" s="111"/>
      <c r="F34" s="111"/>
      <c r="G34" s="111"/>
      <c r="H34" s="111"/>
      <c r="I34" s="111"/>
      <c r="J34" s="111"/>
      <c r="K34" s="111"/>
      <c r="L34" s="97"/>
    </row>
    <row r="35" spans="2:22" x14ac:dyDescent="0.35">
      <c r="B35" s="105"/>
      <c r="C35" s="105"/>
      <c r="D35" s="105"/>
      <c r="E35" s="105"/>
      <c r="F35" s="105"/>
      <c r="G35" s="105"/>
      <c r="H35" s="105"/>
      <c r="I35" s="105"/>
      <c r="J35" s="105"/>
      <c r="K35" s="105"/>
      <c r="L35" s="97"/>
    </row>
    <row r="36" spans="2:22" ht="18.5" x14ac:dyDescent="0.45">
      <c r="B36" s="110" t="s">
        <v>260</v>
      </c>
      <c r="C36" s="110"/>
      <c r="D36" s="110"/>
      <c r="E36" s="110"/>
      <c r="F36" s="110"/>
      <c r="G36" s="110"/>
      <c r="H36" s="110"/>
      <c r="I36" s="110"/>
      <c r="J36" s="110"/>
      <c r="K36" s="110"/>
      <c r="L36" s="97"/>
      <c r="O36" s="104" t="s">
        <v>240</v>
      </c>
    </row>
    <row r="37" spans="2:22" x14ac:dyDescent="0.35">
      <c r="B37" s="105"/>
      <c r="C37" s="105"/>
      <c r="D37" s="105"/>
      <c r="E37" s="105"/>
      <c r="F37" s="105"/>
      <c r="G37" s="105"/>
      <c r="H37" s="105"/>
      <c r="I37" s="105"/>
      <c r="J37" s="105"/>
      <c r="K37" s="105"/>
      <c r="L37" s="97"/>
    </row>
    <row r="38" spans="2:22" ht="18.5" x14ac:dyDescent="0.45">
      <c r="B38" s="108" t="s">
        <v>261</v>
      </c>
      <c r="C38" s="108"/>
      <c r="D38" s="108"/>
      <c r="E38" s="108"/>
      <c r="F38" s="108"/>
      <c r="G38" s="108"/>
      <c r="H38" s="108"/>
      <c r="I38" s="108"/>
      <c r="J38" s="108"/>
      <c r="K38" s="108"/>
      <c r="L38" s="97"/>
      <c r="O38" s="112" t="s">
        <v>266</v>
      </c>
      <c r="P38" s="112"/>
      <c r="Q38" s="112"/>
      <c r="R38" s="112"/>
      <c r="S38" s="112"/>
      <c r="T38" s="112"/>
      <c r="U38" s="112"/>
      <c r="V38" s="112"/>
    </row>
    <row r="39" spans="2:22" x14ac:dyDescent="0.35">
      <c r="B39" s="91"/>
      <c r="C39" s="91"/>
      <c r="D39" s="91"/>
      <c r="E39" s="91"/>
      <c r="F39" s="91"/>
      <c r="G39" s="91"/>
      <c r="H39" s="91"/>
      <c r="I39" s="91"/>
      <c r="J39" s="91"/>
      <c r="K39" s="91"/>
      <c r="O39" s="88"/>
      <c r="P39" s="88"/>
      <c r="Q39" s="88"/>
      <c r="R39" s="88"/>
      <c r="S39" s="88"/>
      <c r="T39" s="88"/>
      <c r="U39" s="88"/>
      <c r="V39" s="88"/>
    </row>
    <row r="40" spans="2:22" ht="18.5" x14ac:dyDescent="0.35">
      <c r="O40" s="93" t="s">
        <v>241</v>
      </c>
      <c r="P40" s="93"/>
      <c r="Q40" s="93"/>
      <c r="R40" s="93"/>
      <c r="S40" s="93"/>
      <c r="T40" s="93"/>
      <c r="U40" s="93"/>
      <c r="V40" s="93"/>
    </row>
    <row r="41" spans="2:22" x14ac:dyDescent="0.35">
      <c r="O41" s="91"/>
      <c r="P41" s="91"/>
      <c r="Q41" s="91"/>
      <c r="R41" s="91"/>
      <c r="S41" s="91"/>
      <c r="T41" s="91"/>
      <c r="U41" s="91"/>
      <c r="V41" s="91"/>
    </row>
    <row r="42" spans="2:22" ht="18.5" x14ac:dyDescent="0.45">
      <c r="O42" s="85" t="s">
        <v>267</v>
      </c>
      <c r="P42" s="85"/>
      <c r="Q42" s="85"/>
      <c r="R42" s="85"/>
      <c r="S42" s="85"/>
      <c r="T42" s="85"/>
      <c r="U42" s="85"/>
      <c r="V42" s="85"/>
    </row>
    <row r="43" spans="2:22" x14ac:dyDescent="0.35">
      <c r="O43" s="88"/>
      <c r="P43" s="88"/>
      <c r="Q43" s="88"/>
      <c r="R43" s="88"/>
      <c r="S43" s="88"/>
      <c r="T43" s="88"/>
      <c r="U43" s="88"/>
      <c r="V43" s="88"/>
    </row>
    <row r="44" spans="2:22" ht="18.5" x14ac:dyDescent="0.35">
      <c r="O44" s="113">
        <v>39564.57</v>
      </c>
      <c r="P44" s="113"/>
      <c r="Q44" s="113"/>
      <c r="R44" s="113"/>
      <c r="S44" s="113"/>
      <c r="T44" s="113"/>
      <c r="U44" s="113"/>
      <c r="V44" s="113"/>
    </row>
    <row r="45" spans="2:22" x14ac:dyDescent="0.35">
      <c r="O45" s="91"/>
      <c r="P45" s="91"/>
      <c r="Q45" s="91"/>
      <c r="R45" s="91"/>
      <c r="S45" s="91"/>
      <c r="T45" s="91"/>
      <c r="U45" s="91"/>
      <c r="V45" s="91"/>
    </row>
    <row r="46" spans="2:22" ht="18.5" x14ac:dyDescent="0.45">
      <c r="O46" s="85" t="s">
        <v>242</v>
      </c>
      <c r="P46" s="85"/>
      <c r="Q46" s="85"/>
      <c r="R46" s="85"/>
      <c r="S46" s="85"/>
      <c r="T46" s="85"/>
      <c r="U46" s="85"/>
      <c r="V46" s="85"/>
    </row>
    <row r="47" spans="2:22" x14ac:dyDescent="0.35">
      <c r="O47" s="91"/>
      <c r="P47" s="91"/>
      <c r="Q47" s="91"/>
      <c r="R47" s="91"/>
      <c r="S47" s="91"/>
      <c r="T47" s="91"/>
      <c r="U47" s="91"/>
      <c r="V47" s="91"/>
    </row>
    <row r="48" spans="2:22" ht="18.5" x14ac:dyDescent="0.45">
      <c r="O48" s="112" t="s">
        <v>268</v>
      </c>
      <c r="P48" s="112"/>
      <c r="Q48" s="112"/>
      <c r="R48" s="112"/>
      <c r="S48" s="112"/>
      <c r="T48" s="112"/>
      <c r="U48" s="112"/>
      <c r="V48" s="112"/>
    </row>
    <row r="49" spans="1:25" x14ac:dyDescent="0.35">
      <c r="Y49" s="67"/>
    </row>
    <row r="50" spans="1:25" x14ac:dyDescent="0.35">
      <c r="Y50" s="67"/>
    </row>
    <row r="51" spans="1:25" x14ac:dyDescent="0.35">
      <c r="Y51" s="67"/>
    </row>
    <row r="52" spans="1:25" ht="31" x14ac:dyDescent="0.35">
      <c r="B52" s="114" t="s">
        <v>269</v>
      </c>
      <c r="C52" s="60"/>
      <c r="D52" s="60"/>
      <c r="E52" s="60"/>
      <c r="F52" s="60"/>
      <c r="Y52" s="67"/>
    </row>
    <row r="53" spans="1:25" x14ac:dyDescent="0.35">
      <c r="Y53" s="67"/>
    </row>
    <row r="54" spans="1:25" ht="14.5" customHeight="1" x14ac:dyDescent="0.45">
      <c r="B54" s="85"/>
      <c r="C54" s="85"/>
      <c r="D54" s="85"/>
      <c r="E54" s="85"/>
      <c r="F54" s="85"/>
      <c r="G54" s="85"/>
      <c r="H54" s="85"/>
      <c r="I54" s="85"/>
      <c r="J54" s="85"/>
      <c r="K54" s="85"/>
      <c r="L54" s="85"/>
      <c r="M54" s="85"/>
      <c r="N54" s="85"/>
      <c r="O54" s="85"/>
      <c r="P54" s="85"/>
      <c r="Q54" s="85"/>
      <c r="R54" s="85"/>
      <c r="S54" s="85"/>
      <c r="T54" s="85"/>
      <c r="Y54" s="67"/>
    </row>
    <row r="55" spans="1:25" ht="18.5" x14ac:dyDescent="0.45">
      <c r="A55" s="70"/>
      <c r="B55" s="85"/>
      <c r="C55" s="85"/>
      <c r="D55" s="85"/>
      <c r="E55" s="85"/>
      <c r="F55" s="85"/>
      <c r="G55" s="85"/>
      <c r="H55" s="85"/>
      <c r="I55" s="85"/>
      <c r="J55" s="85"/>
      <c r="K55" s="85"/>
      <c r="L55" s="85"/>
      <c r="M55" s="85"/>
      <c r="N55" s="85"/>
      <c r="O55" s="85"/>
      <c r="P55" s="85"/>
      <c r="Q55" s="85"/>
      <c r="R55" s="85"/>
      <c r="S55" s="85"/>
      <c r="T55" s="85"/>
    </row>
    <row r="56" spans="1:25" ht="14.5" customHeight="1" x14ac:dyDescent="0.45">
      <c r="A56" s="70"/>
      <c r="B56" s="115" t="s">
        <v>243</v>
      </c>
      <c r="C56" s="115"/>
      <c r="D56" s="115"/>
      <c r="E56" s="115"/>
      <c r="F56" s="115"/>
      <c r="G56" s="115"/>
      <c r="H56" s="115"/>
      <c r="I56" s="115"/>
      <c r="J56" s="115"/>
      <c r="K56" s="115"/>
      <c r="L56" s="115"/>
      <c r="M56" s="115"/>
      <c r="N56" s="115"/>
      <c r="O56" s="115"/>
      <c r="P56" s="115"/>
      <c r="Q56" s="115"/>
      <c r="R56" s="115"/>
      <c r="S56" s="115"/>
      <c r="T56" s="115"/>
    </row>
    <row r="57" spans="1:25" ht="18.5" x14ac:dyDescent="0.45">
      <c r="A57" s="70"/>
      <c r="B57" s="85"/>
      <c r="C57" s="85"/>
      <c r="D57" s="85"/>
      <c r="E57" s="85"/>
      <c r="F57" s="85"/>
      <c r="G57" s="85"/>
      <c r="H57" s="85"/>
      <c r="I57" s="85"/>
      <c r="J57" s="85"/>
      <c r="K57" s="85"/>
      <c r="L57" s="85"/>
      <c r="M57" s="85"/>
      <c r="N57" s="85"/>
      <c r="O57" s="85"/>
      <c r="P57" s="85"/>
      <c r="Q57" s="85"/>
      <c r="R57" s="85"/>
      <c r="S57" s="85"/>
      <c r="T57" s="85"/>
    </row>
    <row r="58" spans="1:25" ht="18.5" x14ac:dyDescent="0.45">
      <c r="A58" s="70"/>
      <c r="B58" s="85" t="s">
        <v>244</v>
      </c>
      <c r="C58" s="85"/>
      <c r="D58" s="85"/>
      <c r="E58" s="85"/>
      <c r="F58" s="85"/>
      <c r="G58" s="85"/>
      <c r="H58" s="85"/>
      <c r="I58" s="85"/>
      <c r="J58" s="85"/>
      <c r="K58" s="85"/>
      <c r="L58" s="85"/>
      <c r="M58" s="85"/>
      <c r="N58" s="85"/>
      <c r="O58" s="85"/>
      <c r="P58" s="85"/>
      <c r="Q58" s="85"/>
      <c r="R58" s="85"/>
      <c r="S58" s="85"/>
      <c r="T58" s="85"/>
    </row>
    <row r="59" spans="1:25" ht="18.5" x14ac:dyDescent="0.45">
      <c r="A59" s="70"/>
      <c r="B59" s="85"/>
      <c r="C59" s="85"/>
      <c r="D59" s="85"/>
      <c r="E59" s="85"/>
      <c r="F59" s="85"/>
      <c r="G59" s="85"/>
      <c r="H59" s="85"/>
      <c r="I59" s="85"/>
      <c r="J59" s="85"/>
      <c r="K59" s="85"/>
      <c r="L59" s="85"/>
      <c r="M59" s="85"/>
      <c r="N59" s="85"/>
      <c r="O59" s="85"/>
      <c r="P59" s="85"/>
      <c r="Q59" s="85"/>
      <c r="R59" s="85"/>
      <c r="S59" s="85"/>
      <c r="T59" s="85"/>
    </row>
    <row r="60" spans="1:25" ht="14.5" customHeight="1" x14ac:dyDescent="0.45">
      <c r="A60" s="70"/>
      <c r="B60" s="115" t="s">
        <v>245</v>
      </c>
      <c r="C60" s="115"/>
      <c r="D60" s="115"/>
      <c r="E60" s="115"/>
      <c r="F60" s="115"/>
      <c r="G60" s="115"/>
      <c r="H60" s="115"/>
      <c r="I60" s="115"/>
      <c r="J60" s="115"/>
      <c r="K60" s="115"/>
      <c r="L60" s="115"/>
      <c r="M60" s="115"/>
      <c r="N60" s="115"/>
      <c r="O60" s="115"/>
      <c r="P60" s="115"/>
      <c r="Q60" s="115"/>
      <c r="R60" s="115"/>
      <c r="S60" s="115"/>
      <c r="T60" s="115"/>
    </row>
    <row r="61" spans="1:25" ht="18.5" x14ac:dyDescent="0.45">
      <c r="A61" s="70"/>
      <c r="B61" s="85"/>
      <c r="C61" s="85"/>
      <c r="D61" s="85"/>
      <c r="E61" s="85"/>
      <c r="F61" s="85"/>
      <c r="G61" s="85"/>
      <c r="H61" s="85"/>
      <c r="I61" s="85"/>
      <c r="J61" s="85"/>
      <c r="K61" s="85"/>
      <c r="L61" s="85"/>
      <c r="M61" s="85"/>
      <c r="N61" s="85"/>
      <c r="O61" s="85"/>
      <c r="P61" s="85"/>
      <c r="Q61" s="85"/>
      <c r="R61" s="85"/>
      <c r="S61" s="85"/>
      <c r="T61" s="85"/>
    </row>
    <row r="62" spans="1:25" ht="18.5" x14ac:dyDescent="0.45">
      <c r="A62" s="70"/>
      <c r="B62" s="85" t="s">
        <v>246</v>
      </c>
      <c r="C62" s="85"/>
      <c r="D62" s="85"/>
      <c r="E62" s="85"/>
      <c r="F62" s="85"/>
      <c r="G62" s="85"/>
      <c r="H62" s="85"/>
      <c r="I62" s="85"/>
      <c r="J62" s="85"/>
      <c r="K62" s="85"/>
      <c r="L62" s="85"/>
      <c r="M62" s="85"/>
      <c r="N62" s="85"/>
      <c r="O62" s="85"/>
      <c r="P62" s="85"/>
      <c r="Q62" s="85"/>
      <c r="R62" s="85"/>
      <c r="S62" s="85"/>
      <c r="T62" s="85"/>
    </row>
    <row r="63" spans="1:25" ht="18.5" x14ac:dyDescent="0.45">
      <c r="A63" s="70"/>
      <c r="B63" s="85"/>
      <c r="C63" s="85"/>
      <c r="D63" s="85"/>
      <c r="E63" s="85"/>
      <c r="F63" s="85"/>
      <c r="G63" s="85"/>
      <c r="H63" s="85"/>
      <c r="I63" s="85"/>
      <c r="J63" s="85"/>
      <c r="K63" s="85"/>
      <c r="L63" s="85"/>
      <c r="M63" s="85"/>
      <c r="N63" s="85"/>
      <c r="O63" s="85"/>
      <c r="P63" s="85"/>
      <c r="Q63" s="85"/>
      <c r="R63" s="85"/>
      <c r="S63" s="85"/>
      <c r="T63" s="85"/>
    </row>
    <row r="64" spans="1:25" ht="14.5" customHeight="1" x14ac:dyDescent="0.45">
      <c r="A64" s="70"/>
      <c r="B64" s="115" t="s">
        <v>247</v>
      </c>
      <c r="C64" s="115"/>
      <c r="D64" s="115"/>
      <c r="E64" s="115"/>
      <c r="F64" s="115"/>
      <c r="G64" s="115"/>
      <c r="H64" s="115"/>
      <c r="I64" s="115"/>
      <c r="J64" s="115"/>
      <c r="K64" s="115"/>
      <c r="L64" s="115"/>
      <c r="M64" s="115"/>
      <c r="N64" s="115"/>
      <c r="O64" s="115"/>
      <c r="P64" s="115"/>
      <c r="Q64" s="115"/>
      <c r="R64" s="115"/>
      <c r="S64" s="115"/>
      <c r="T64" s="115"/>
    </row>
    <row r="65" spans="1:20" ht="18.5" x14ac:dyDescent="0.45">
      <c r="A65" s="70"/>
      <c r="B65" s="85"/>
      <c r="C65" s="85"/>
      <c r="D65" s="85"/>
      <c r="E65" s="85"/>
      <c r="F65" s="85"/>
      <c r="G65" s="85"/>
      <c r="H65" s="85"/>
      <c r="I65" s="85"/>
      <c r="J65" s="85"/>
      <c r="K65" s="85"/>
      <c r="L65" s="85"/>
      <c r="M65" s="85"/>
      <c r="N65" s="85"/>
      <c r="O65" s="85"/>
      <c r="P65" s="85"/>
      <c r="Q65" s="85"/>
      <c r="R65" s="85"/>
      <c r="S65" s="85"/>
      <c r="T65" s="85"/>
    </row>
    <row r="66" spans="1:20" ht="18.5" x14ac:dyDescent="0.45">
      <c r="A66" s="70"/>
      <c r="B66" s="85" t="s">
        <v>248</v>
      </c>
      <c r="C66" s="85"/>
      <c r="D66" s="85"/>
      <c r="E66" s="85"/>
      <c r="F66" s="85"/>
      <c r="G66" s="85"/>
      <c r="H66" s="85"/>
      <c r="I66" s="85"/>
      <c r="J66" s="85"/>
      <c r="K66" s="85"/>
      <c r="L66" s="85"/>
      <c r="M66" s="85"/>
      <c r="N66" s="85"/>
      <c r="O66" s="85"/>
      <c r="P66" s="85"/>
      <c r="Q66" s="85"/>
      <c r="R66" s="85"/>
      <c r="S66" s="85"/>
      <c r="T66" s="85"/>
    </row>
    <row r="67" spans="1:20" ht="18.5" x14ac:dyDescent="0.45">
      <c r="A67" s="70"/>
      <c r="B67" s="85"/>
      <c r="C67" s="85"/>
      <c r="D67" s="85"/>
      <c r="E67" s="85"/>
      <c r="F67" s="85"/>
      <c r="G67" s="85"/>
      <c r="H67" s="85"/>
      <c r="I67" s="85"/>
      <c r="J67" s="85"/>
      <c r="K67" s="85"/>
      <c r="L67" s="85"/>
      <c r="M67" s="85"/>
      <c r="N67" s="85"/>
      <c r="O67" s="85"/>
      <c r="P67" s="85"/>
      <c r="Q67" s="85"/>
      <c r="R67" s="85"/>
      <c r="S67" s="85"/>
      <c r="T67" s="85"/>
    </row>
    <row r="68" spans="1:20" ht="14.5" customHeight="1" x14ac:dyDescent="0.45">
      <c r="A68" s="70"/>
      <c r="B68" s="115" t="s">
        <v>249</v>
      </c>
      <c r="C68" s="115"/>
      <c r="D68" s="115"/>
      <c r="E68" s="115"/>
      <c r="F68" s="115"/>
      <c r="G68" s="115"/>
      <c r="H68" s="115"/>
      <c r="I68" s="115"/>
      <c r="J68" s="115"/>
      <c r="K68" s="115"/>
      <c r="L68" s="115"/>
      <c r="M68" s="115"/>
      <c r="N68" s="115"/>
      <c r="O68" s="115"/>
      <c r="P68" s="115"/>
      <c r="Q68" s="115"/>
      <c r="R68" s="115"/>
      <c r="S68" s="115"/>
      <c r="T68" s="115"/>
    </row>
    <row r="69" spans="1:20" ht="18.5" x14ac:dyDescent="0.45">
      <c r="A69" s="70"/>
      <c r="B69" s="85"/>
      <c r="C69" s="85"/>
      <c r="D69" s="85"/>
      <c r="E69" s="85"/>
      <c r="F69" s="85"/>
      <c r="G69" s="85"/>
      <c r="H69" s="85"/>
      <c r="I69" s="85"/>
      <c r="J69" s="85"/>
      <c r="K69" s="85"/>
      <c r="L69" s="85"/>
      <c r="M69" s="85"/>
      <c r="N69" s="85"/>
      <c r="O69" s="85"/>
      <c r="P69" s="85"/>
      <c r="Q69" s="85"/>
      <c r="R69" s="85"/>
      <c r="S69" s="85"/>
      <c r="T69" s="85"/>
    </row>
    <row r="70" spans="1:20" ht="18.5" x14ac:dyDescent="0.45">
      <c r="A70" s="70"/>
      <c r="B70" s="85" t="s">
        <v>250</v>
      </c>
      <c r="C70" s="85"/>
      <c r="D70" s="85"/>
      <c r="E70" s="85"/>
      <c r="F70" s="85"/>
      <c r="G70" s="85"/>
      <c r="H70" s="85"/>
      <c r="I70" s="85"/>
      <c r="J70" s="85"/>
      <c r="K70" s="85"/>
      <c r="L70" s="85"/>
      <c r="M70" s="85"/>
      <c r="N70" s="85"/>
      <c r="O70" s="85"/>
      <c r="P70" s="85"/>
      <c r="Q70" s="85"/>
      <c r="R70" s="85"/>
      <c r="S70" s="85"/>
      <c r="T70" s="85"/>
    </row>
    <row r="71" spans="1:20" ht="18.5" x14ac:dyDescent="0.45">
      <c r="A71" s="70"/>
      <c r="B71" s="85"/>
      <c r="C71" s="85"/>
      <c r="D71" s="85"/>
      <c r="E71" s="85"/>
      <c r="F71" s="85"/>
      <c r="G71" s="85"/>
      <c r="H71" s="85"/>
      <c r="I71" s="85"/>
      <c r="J71" s="85"/>
      <c r="K71" s="85"/>
      <c r="L71" s="85"/>
      <c r="M71" s="85"/>
      <c r="N71" s="85"/>
      <c r="O71" s="85"/>
      <c r="P71" s="85"/>
      <c r="Q71" s="85"/>
      <c r="R71" s="85"/>
      <c r="S71" s="85"/>
      <c r="T71" s="85"/>
    </row>
    <row r="72" spans="1:20" ht="14.5" customHeight="1" x14ac:dyDescent="0.45">
      <c r="A72" s="70"/>
      <c r="B72" s="115" t="s">
        <v>251</v>
      </c>
      <c r="C72" s="115"/>
      <c r="D72" s="115"/>
      <c r="E72" s="115"/>
      <c r="F72" s="115"/>
      <c r="G72" s="115"/>
      <c r="H72" s="115"/>
      <c r="I72" s="115"/>
      <c r="J72" s="115"/>
      <c r="K72" s="115"/>
      <c r="L72" s="115"/>
      <c r="M72" s="115"/>
      <c r="N72" s="115"/>
      <c r="O72" s="115"/>
      <c r="P72" s="115"/>
      <c r="Q72" s="115"/>
      <c r="R72" s="115"/>
      <c r="S72" s="115"/>
      <c r="T72" s="115"/>
    </row>
    <row r="73" spans="1:20" ht="18.5" x14ac:dyDescent="0.45">
      <c r="A73" s="70"/>
      <c r="B73" s="85"/>
      <c r="C73" s="85"/>
      <c r="D73" s="85"/>
      <c r="E73" s="85"/>
      <c r="F73" s="85"/>
      <c r="G73" s="85"/>
      <c r="H73" s="85"/>
      <c r="I73" s="85"/>
      <c r="J73" s="85"/>
      <c r="K73" s="85"/>
      <c r="L73" s="85"/>
      <c r="M73" s="85"/>
      <c r="N73" s="85"/>
      <c r="O73" s="85"/>
      <c r="P73" s="85"/>
      <c r="Q73" s="85"/>
      <c r="R73" s="85"/>
      <c r="S73" s="85"/>
      <c r="T73" s="85"/>
    </row>
    <row r="74" spans="1:20" ht="18.5" x14ac:dyDescent="0.45">
      <c r="A74" s="70"/>
      <c r="B74" s="85" t="s">
        <v>252</v>
      </c>
      <c r="C74" s="85"/>
      <c r="D74" s="85"/>
      <c r="E74" s="85"/>
      <c r="F74" s="85"/>
      <c r="G74" s="85"/>
      <c r="H74" s="85"/>
      <c r="I74" s="85"/>
      <c r="J74" s="85"/>
      <c r="K74" s="85"/>
      <c r="L74" s="85"/>
      <c r="M74" s="85"/>
      <c r="N74" s="85"/>
      <c r="O74" s="85"/>
      <c r="P74" s="85"/>
      <c r="Q74" s="85"/>
      <c r="R74" s="85"/>
      <c r="S74" s="85"/>
      <c r="T74" s="85"/>
    </row>
    <row r="75" spans="1:20" ht="18.5" x14ac:dyDescent="0.45">
      <c r="A75" s="70"/>
      <c r="B75" s="70"/>
      <c r="C75" s="70"/>
      <c r="D75" s="70"/>
      <c r="E75" s="70"/>
      <c r="F75" s="70"/>
      <c r="G75" s="70"/>
      <c r="H75" s="70"/>
      <c r="I75" s="70"/>
      <c r="J75" s="70"/>
      <c r="K75" s="70"/>
      <c r="L75" s="70"/>
      <c r="M75" s="70"/>
      <c r="N75" s="70"/>
      <c r="O75" s="70"/>
      <c r="P75" s="70"/>
      <c r="Q75" s="70"/>
      <c r="R75" s="70"/>
      <c r="S75" s="70"/>
      <c r="T75" s="70"/>
    </row>
    <row r="136" spans="25:25" ht="31" x14ac:dyDescent="0.35">
      <c r="Y136" s="94"/>
    </row>
    <row r="140" spans="25:25" ht="17.5" x14ac:dyDescent="0.35">
      <c r="Y140" s="71"/>
    </row>
    <row r="142" spans="25:25" x14ac:dyDescent="0.35">
      <c r="Y142" s="89"/>
    </row>
    <row r="143" spans="25:25" x14ac:dyDescent="0.35">
      <c r="Y143" s="67"/>
    </row>
    <row r="144" spans="25:25" x14ac:dyDescent="0.35">
      <c r="Y144" s="90"/>
    </row>
    <row r="148" spans="25:25" x14ac:dyDescent="0.35">
      <c r="Y148" s="89"/>
    </row>
    <row r="152" spans="25:25" ht="17.5" x14ac:dyDescent="0.35">
      <c r="Y152" s="71"/>
    </row>
    <row r="154" spans="25:25" x14ac:dyDescent="0.35">
      <c r="Y154" s="89"/>
    </row>
    <row r="155" spans="25:25" x14ac:dyDescent="0.35">
      <c r="Y155" s="67"/>
    </row>
    <row r="156" spans="25:25" x14ac:dyDescent="0.35">
      <c r="Y156" s="90"/>
    </row>
    <row r="159" spans="25:25" x14ac:dyDescent="0.35">
      <c r="Y159" s="67"/>
    </row>
    <row r="160" spans="25:25" x14ac:dyDescent="0.35">
      <c r="Y160" s="67"/>
    </row>
    <row r="161" spans="25:25" x14ac:dyDescent="0.35">
      <c r="Y161" s="67"/>
    </row>
    <row r="162" spans="25:25" x14ac:dyDescent="0.35">
      <c r="Y162" s="67"/>
    </row>
    <row r="163" spans="25:25" x14ac:dyDescent="0.35">
      <c r="Y163" s="67"/>
    </row>
    <row r="164" spans="25:25" x14ac:dyDescent="0.35">
      <c r="Y164" s="67"/>
    </row>
    <row r="165" spans="25:25" x14ac:dyDescent="0.35">
      <c r="Y165" s="67"/>
    </row>
    <row r="166" spans="25:25" x14ac:dyDescent="0.35">
      <c r="Y166" s="67"/>
    </row>
    <row r="167" spans="25:25" x14ac:dyDescent="0.35">
      <c r="Y167" s="67"/>
    </row>
    <row r="168" spans="25:25" x14ac:dyDescent="0.35">
      <c r="Y168" s="67"/>
    </row>
    <row r="172" spans="25:25" x14ac:dyDescent="0.35">
      <c r="Y172" s="89"/>
    </row>
    <row r="248" spans="25:25" ht="31" x14ac:dyDescent="0.35">
      <c r="Y248" s="94"/>
    </row>
    <row r="251" spans="25:25" x14ac:dyDescent="0.35">
      <c r="Y251" s="67"/>
    </row>
    <row r="252" spans="25:25" x14ac:dyDescent="0.35">
      <c r="Y252" s="90"/>
    </row>
    <row r="253" spans="25:25" x14ac:dyDescent="0.35">
      <c r="Y253" s="67"/>
    </row>
    <row r="254" spans="25:25" x14ac:dyDescent="0.35">
      <c r="Y254" s="67"/>
    </row>
    <row r="260" spans="25:25" ht="23.5" x14ac:dyDescent="0.35">
      <c r="Y260" s="95"/>
    </row>
    <row r="264" spans="25:25" x14ac:dyDescent="0.35">
      <c r="Y264" s="89"/>
    </row>
    <row r="268" spans="25:25" ht="17.5" x14ac:dyDescent="0.35">
      <c r="Y268" s="71"/>
    </row>
    <row r="276" spans="25:25" x14ac:dyDescent="0.35">
      <c r="Y276" s="89"/>
    </row>
    <row r="277" spans="25:25" x14ac:dyDescent="0.35">
      <c r="Y277" s="89"/>
    </row>
    <row r="278" spans="25:25" x14ac:dyDescent="0.35">
      <c r="Y278" s="89"/>
    </row>
    <row r="279" spans="25:25" x14ac:dyDescent="0.35">
      <c r="Y279" s="89"/>
    </row>
  </sheetData>
  <mergeCells count="82">
    <mergeCell ref="B72:T72"/>
    <mergeCell ref="B73:T73"/>
    <mergeCell ref="B74:T74"/>
    <mergeCell ref="B66:T66"/>
    <mergeCell ref="B67:T67"/>
    <mergeCell ref="B68:T68"/>
    <mergeCell ref="B69:T69"/>
    <mergeCell ref="B70:T70"/>
    <mergeCell ref="B71:T71"/>
    <mergeCell ref="B60:T60"/>
    <mergeCell ref="B61:T61"/>
    <mergeCell ref="B62:T62"/>
    <mergeCell ref="B63:T63"/>
    <mergeCell ref="B64:T64"/>
    <mergeCell ref="B65:T65"/>
    <mergeCell ref="B54:T54"/>
    <mergeCell ref="B55:T55"/>
    <mergeCell ref="B56:T56"/>
    <mergeCell ref="B57:T57"/>
    <mergeCell ref="B58:T58"/>
    <mergeCell ref="B59:T59"/>
    <mergeCell ref="O48:V48"/>
    <mergeCell ref="O42:V42"/>
    <mergeCell ref="O43:V43"/>
    <mergeCell ref="O44:V44"/>
    <mergeCell ref="O45:V45"/>
    <mergeCell ref="O46:V46"/>
    <mergeCell ref="O47:V47"/>
    <mergeCell ref="O31:Z31"/>
    <mergeCell ref="O32:Z32"/>
    <mergeCell ref="O38:V38"/>
    <mergeCell ref="O39:V39"/>
    <mergeCell ref="O40:V40"/>
    <mergeCell ref="O41:V41"/>
    <mergeCell ref="O25:Z25"/>
    <mergeCell ref="O26:Z26"/>
    <mergeCell ref="O27:Z27"/>
    <mergeCell ref="O28:Z28"/>
    <mergeCell ref="O29:Z29"/>
    <mergeCell ref="O30:Z30"/>
    <mergeCell ref="O15:Y15"/>
    <mergeCell ref="O20:Z20"/>
    <mergeCell ref="O21:Z21"/>
    <mergeCell ref="O22:Z22"/>
    <mergeCell ref="O23:Z23"/>
    <mergeCell ref="O24:Z24"/>
    <mergeCell ref="B24:K24"/>
    <mergeCell ref="B25:K25"/>
    <mergeCell ref="B39:K39"/>
    <mergeCell ref="O8:Y8"/>
    <mergeCell ref="O9:Y9"/>
    <mergeCell ref="O10:Y10"/>
    <mergeCell ref="O11:Y11"/>
    <mergeCell ref="O12:Y12"/>
    <mergeCell ref="O13:Y13"/>
    <mergeCell ref="O14:Y14"/>
    <mergeCell ref="B8:L8"/>
    <mergeCell ref="B9:L9"/>
    <mergeCell ref="B10:L10"/>
    <mergeCell ref="B11:L11"/>
    <mergeCell ref="B12:L12"/>
    <mergeCell ref="B13:L13"/>
    <mergeCell ref="B35:K35"/>
    <mergeCell ref="B36:K36"/>
    <mergeCell ref="B37:K37"/>
    <mergeCell ref="B38:K38"/>
    <mergeCell ref="B29:K29"/>
    <mergeCell ref="B30:K30"/>
    <mergeCell ref="B31:K31"/>
    <mergeCell ref="B32:K32"/>
    <mergeCell ref="B33:K33"/>
    <mergeCell ref="B34:K34"/>
    <mergeCell ref="B26:K26"/>
    <mergeCell ref="B27:K27"/>
    <mergeCell ref="B28:K28"/>
    <mergeCell ref="B20:K20"/>
    <mergeCell ref="B21:K21"/>
    <mergeCell ref="B22:K22"/>
    <mergeCell ref="B23:K23"/>
    <mergeCell ref="B4:F4"/>
    <mergeCell ref="B2:E2"/>
    <mergeCell ref="B14:L1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4</vt:i4>
      </vt:variant>
    </vt:vector>
  </HeadingPairs>
  <TitlesOfParts>
    <vt:vector size="10" baseType="lpstr">
      <vt:lpstr>Raw_Data</vt:lpstr>
      <vt:lpstr>Lookup_Tables</vt:lpstr>
      <vt:lpstr>Analysis</vt:lpstr>
      <vt:lpstr>Dashboard</vt:lpstr>
      <vt:lpstr>README</vt:lpstr>
      <vt:lpstr>Report</vt:lpstr>
      <vt:lpstr>Customers</vt:lpstr>
      <vt:lpstr>PaymentMethods</vt:lpstr>
      <vt:lpstr>Products</vt:lpstr>
      <vt:lpstr>Salespersons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Edjay Blasquino</dc:creator>
  <cp:lastModifiedBy>Edjay Blasquino</cp:lastModifiedBy>
  <dcterms:created xsi:type="dcterms:W3CDTF">2026-08-03T16:24:08Z</dcterms:created>
  <dcterms:modified xsi:type="dcterms:W3CDTF">2026-08-11T03:18:01Z</dcterms:modified>
</cp:coreProperties>
</file>